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3.xml" ContentType="application/vnd.openxmlformats-officedocument.spreadsheetml.table+xml"/>
  <Override PartName="/xl/worksheets/sheet11.xml" ContentType="application/vnd.openxmlformats-officedocument.spreadsheetml.worksheet+xml"/>
  <Override PartName="/xl/tables/table4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5.xml" ContentType="application/vnd.openxmlformats-officedocument.spreadsheetml.table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5dce302c054d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-ME" sheetId="1" r:id="R7535ef8c07994ff2"/>
    <x:sheet xmlns:r="http://schemas.openxmlformats.org/officeDocument/2006/relationships" name="Provider_Catalog" sheetId="2" r:id="R3e43c07874d64ecc"/>
    <x:sheet xmlns:r="http://schemas.openxmlformats.org/officeDocument/2006/relationships" name="Global_Assumptions" sheetId="3" r:id="R153bcb77143549dc"/>
    <x:sheet xmlns:r="http://schemas.openxmlformats.org/officeDocument/2006/relationships" name="Channel_Assumptions" sheetId="4" r:id="R95a4e42d5cd544cb"/>
    <x:sheet xmlns:r="http://schemas.openxmlformats.org/officeDocument/2006/relationships" name="Native_Modular" sheetId="5" r:id="Rae9addc2afbd4d0e"/>
    <x:sheet xmlns:r="http://schemas.openxmlformats.org/officeDocument/2006/relationships" name="Native_S2S" sheetId="6" r:id="Rf86d3670eb594882"/>
    <x:sheet xmlns:r="http://schemas.openxmlformats.org/officeDocument/2006/relationships" name="Native_Video" sheetId="7" r:id="R6b3753952fe142c5"/>
    <x:sheet xmlns:r="http://schemas.openxmlformats.org/officeDocument/2006/relationships" name="External_Meeting" sheetId="8" r:id="R469096d670e245dd"/>
    <x:sheet xmlns:r="http://schemas.openxmlformats.org/officeDocument/2006/relationships" name="Telephony" sheetId="9" r:id="R964df881e0c045a4"/>
    <x:sheet xmlns:r="http://schemas.openxmlformats.org/officeDocument/2006/relationships" name="Capacity" sheetId="10" r:id="Rd0972d279d8b40a6"/>
    <x:sheet xmlns:r="http://schemas.openxmlformats.org/officeDocument/2006/relationships" name="Plans_Margin" sheetId="11" r:id="R5ec14ecfc89b4d88"/>
    <x:sheet xmlns:r="http://schemas.openxmlformats.org/officeDocument/2006/relationships" name="Sensitivity" sheetId="12" r:id="R6efdbbef733e43b4"/>
    <x:sheet xmlns:r="http://schemas.openxmlformats.org/officeDocument/2006/relationships" name="Actual_vs_Model" sheetId="13" r:id="R3868682a685d4860"/>
    <x:sheet xmlns:r="http://schemas.openxmlformats.org/officeDocument/2006/relationships" name="Dashboard" sheetId="14" r:id="Re455e43be7c345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$0.000000"/>
    <x:numFmt numFmtId="201" formatCode="0.00"/>
    <x:numFmt numFmtId="202" formatCode="0.0%"/>
    <x:numFmt numFmtId="203" formatCode="$0.0000"/>
    <x:numFmt numFmtId="204" formatCode="R$ #,##0.00"/>
    <x:numFmt numFmtId="205" formatCode="$#,##0.0000"/>
    <x:numFmt numFmtId="206" formatCode="$#,##0.00"/>
    <x:numFmt numFmtId="207" formatCode="$0.000"/>
    <x:numFmt numFmtId="208" formatCode="$#,##0.000"/>
    <x:numFmt numFmtId="209" formatCode="yyyy-mm"/>
    <x:numFmt numFmtId="210" formatCode="#,##0"/>
  </x:numFmts>
  <x:fonts count="14">
    <x:font>
      <x:sz val="11"/>
      <x:name val="Carlito"/>
    </x:font>
    <x:font>
      <x:b/>
      <x:sz val="18"/>
      <x:color rgb="FFFFFFFF"/>
      <x:name val="Carlito"/>
    </x:font>
    <x:font>
      <x:i/>
      <x:sz val="10"/>
      <x:color rgb="FFFFFFFF"/>
      <x:name val="Carlito"/>
    </x:font>
    <x:font>
      <x:b/>
      <x:sz val="11"/>
      <x:color rgb="FFFFFFFF"/>
      <x:name val="Carlito"/>
    </x:font>
    <x:font>
      <x:sz val="10"/>
      <x:color rgb="FF17202A"/>
      <x:name val="Carlito"/>
    </x:font>
    <x:font>
      <x:b/>
      <x:sz val="11"/>
      <x:color rgb="FF7A0B15"/>
      <x:name val="Carlito"/>
    </x:font>
    <x:font>
      <x:b/>
      <x:sz val="10"/>
      <x:color rgb="FFFFFFFF"/>
      <x:name val="Carlito"/>
    </x:font>
    <x:font>
      <x:b/>
      <x:sz val="10"/>
      <x:color rgb="FF17202A"/>
      <x:name val="Carlito"/>
    </x:font>
    <x:font>
      <x:b/>
      <x:sz val="10"/>
      <x:color rgb="FF17202A"/>
      <x:name val="Aptos"/>
    </x:font>
    <x:font>
      <x:i/>
      <x:sz val="10"/>
      <x:color rgb="FF17202A"/>
      <x:name val="Aptos"/>
    </x:font>
    <x:font>
      <x:sz val="10"/>
      <x:color rgb="FF17202A"/>
      <x:name val="Aptos"/>
    </x:font>
    <x:font>
      <x:b/>
      <x:sz val="18"/>
      <x:color rgb="FFFFFFFF"/>
      <x:name val="Aptos"/>
    </x:font>
    <x:font>
      <x:i/>
      <x:sz val="10"/>
      <x:color rgb="FFFFFFFF"/>
      <x:name val="Aptos"/>
    </x:font>
    <x:font>
      <x:b/>
      <x:sz val="10"/>
      <x:color rgb="FFFFFFFF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01820"/>
      </x:patternFill>
    </x:fill>
    <x:fill>
      <x:patternFill patternType="solid">
        <x:fgColor rgb="FF1B2633"/>
      </x:patternFill>
    </x:fill>
    <x:fill>
      <x:patternFill patternType="solid">
        <x:fgColor rgb="FFE11428"/>
      </x:patternFill>
    </x:fill>
    <x:fill>
      <x:patternFill patternType="solid">
        <x:fgColor rgb="FFFCE4E4"/>
      </x:patternFill>
    </x:fill>
    <x:fill>
      <x:patternFill patternType="solid">
        <x:fgColor rgb="FFDFF3E4"/>
      </x:patternFill>
    </x:fill>
    <x:fill>
      <x:patternFill patternType="solid">
        <x:fgColor rgb="FFFFF2CC"/>
      </x:patternFill>
    </x:fill>
    <x:fill>
      <x:patternFill patternType="solid">
        <x:fgColor rgb="FFE8F1FB"/>
      </x:patternFill>
    </x:fill>
  </x:fills>
  <x:borders count="36">
    <x:border/>
    <x:border/>
    <x:border>
      <x:left style="thin">
        <x:color rgb="FFA50C1B"/>
      </x:left>
      <x:right style="thin">
        <x:color rgb="FFA50C1B"/>
      </x:right>
      <x:top style="thin">
        <x:color rgb="FFA50C1B"/>
      </x:top>
    </x:border>
    <x:border>
      <x:left style="thin">
        <x:color rgb="FFA50C1B"/>
      </x:left>
      <x:right style="thin">
        <x:color rgb="FFA50C1B"/>
      </x:right>
    </x:border>
    <x:border>
      <x:left style="thin">
        <x:color rgb="FFA50C1B"/>
      </x:left>
      <x:right style="thin">
        <x:color rgb="FFA50C1B"/>
      </x:right>
      <x:bottom style="thin">
        <x:color rgb="FFA50C1B"/>
      </x:bottom>
    </x:border>
    <x:border>
      <x:left style="thin">
        <x:color rgb="FFA50C1B"/>
      </x:left>
      <x:right style="thin">
        <x:color rgb="FFA50C1B"/>
      </x:right>
      <x:top style="thin">
        <x:color rgb="FFA50C1B"/>
      </x:top>
    </x:border>
    <x:border>
      <x:left style="thin">
        <x:color rgb="FFA50C1B"/>
      </x:left>
      <x:right style="thin">
        <x:color rgb="FFA50C1B"/>
      </x:right>
    </x:border>
    <x:border>
      <x:left style="thin">
        <x:color rgb="FFA50C1B"/>
      </x:left>
      <x:right style="thin">
        <x:color rgb="FFA50C1B"/>
      </x:right>
      <x:bottom style="thin">
        <x:color rgb="FFA50C1B"/>
      </x:bottom>
    </x:border>
    <x:border>
      <x:left style="thin">
        <x:color rgb="FFD8DEE8"/>
      </x:left>
      <x:right style="thin">
        <x:color rgb="FFD8DEE8"/>
      </x:right>
      <x:top style="thin">
        <x:color rgb="FFD8DEE8"/>
      </x:top>
    </x:border>
    <x:border>
      <x:left style="thin">
        <x:color rgb="FFD8DEE8"/>
      </x:left>
      <x:right style="thin">
        <x:color rgb="FFD8DEE8"/>
      </x:right>
    </x:border>
    <x:border>
      <x:left style="thin">
        <x:color rgb="FFD8DEE8"/>
      </x:left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top style="thin">
        <x:color rgb="FFD8DEE8"/>
      </x:top>
    </x:border>
    <x:border>
      <x:left style="thin">
        <x:color rgb="FFD8DEE8"/>
      </x:left>
      <x:right style="thin">
        <x:color rgb="FFD8DEE8"/>
      </x:right>
    </x:border>
    <x:border>
      <x:left style="thin">
        <x:color rgb="FFD8DEE8"/>
      </x:left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top style="thin">
        <x:color rgb="FFD8DEE8"/>
      </x:top>
    </x:border>
    <x:border>
      <x:top style="thin">
        <x:color rgb="FFD8DEE8"/>
      </x:top>
    </x:border>
    <x:border>
      <x:right style="thin">
        <x:color rgb="FFD8DEE8"/>
      </x:right>
      <x:top style="thin">
        <x:color rgb="FFD8DEE8"/>
      </x:top>
    </x:border>
    <x:border>
      <x:left style="thin">
        <x:color rgb="FFD8DEE8"/>
      </x:left>
      <x:bottom style="thin">
        <x:color rgb="FFD8DEE8"/>
      </x:bottom>
    </x:border>
    <x:border>
      <x:bottom style="thin">
        <x:color rgb="FFD8DEE8"/>
      </x:bottom>
    </x:border>
    <x:border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top style="thin">
        <x:color rgb="FFD8DEE8"/>
      </x:top>
    </x:border>
    <x:border>
      <x:top style="thin">
        <x:color rgb="FFD8DEE8"/>
      </x:top>
    </x:border>
    <x:border>
      <x:right style="thin">
        <x:color rgb="FFD8DEE8"/>
      </x:right>
      <x:top style="thin">
        <x:color rgb="FFD8DEE8"/>
      </x:top>
    </x:border>
    <x:border>
      <x:left style="thin">
        <x:color rgb="FFD8DEE8"/>
      </x:left>
      <x:bottom style="thin">
        <x:color rgb="FFD8DEE8"/>
      </x:bottom>
    </x:border>
    <x:border>
      <x:bottom style="thin">
        <x:color rgb="FFD8DEE8"/>
      </x:bottom>
    </x:border>
    <x:border>
      <x:right style="thin">
        <x:color rgb="FFD8DEE8"/>
      </x:right>
      <x:bottom style="thin">
        <x:color rgb="FFD8DEE8"/>
      </x:bottom>
    </x:border>
    <x:border>
      <x:left style="thin">
        <x:color rgb="FFA50C1B"/>
      </x:left>
      <x:top style="thin">
        <x:color rgb="FFA50C1B"/>
      </x:top>
      <x:bottom style="thin">
        <x:color rgb="FFA50C1B"/>
      </x:bottom>
    </x:border>
    <x:border>
      <x:top style="thin">
        <x:color rgb="FFA50C1B"/>
      </x:top>
      <x:bottom style="thin">
        <x:color rgb="FFA50C1B"/>
      </x:bottom>
    </x:border>
    <x:border>
      <x:right style="thin">
        <x:color rgb="FFA50C1B"/>
      </x:right>
      <x:top style="thin">
        <x:color rgb="FFA50C1B"/>
      </x:top>
      <x:bottom style="thin">
        <x:color rgb="FFA50C1B"/>
      </x:bottom>
    </x:border>
    <x:border>
      <x:left style="thin">
        <x:color rgb="FFA50C1B"/>
      </x:left>
      <x:top style="thin">
        <x:color rgb="FFA50C1B"/>
      </x:top>
      <x:bottom style="thin">
        <x:color rgb="FFA50C1B"/>
      </x:bottom>
    </x:border>
    <x:border>
      <x:top style="thin">
        <x:color rgb="FFA50C1B"/>
      </x:top>
      <x:bottom style="thin">
        <x:color rgb="FFA50C1B"/>
      </x:bottom>
    </x:border>
    <x:border>
      <x:right style="thin">
        <x:color rgb="FFA50C1B"/>
      </x:right>
      <x:top style="thin">
        <x:color rgb="FFA50C1B"/>
      </x:top>
      <x:bottom style="thin">
        <x:color rgb="FFA50C1B"/>
      </x:bottom>
    </x:border>
    <x:border>
      <x:left style="thin">
        <x:color rgb="FFD8DEE8"/>
      </x:left>
    </x:border>
    <x:border>
      <x:right style="thin">
        <x:color rgb="FFD8DEE8"/>
      </x:right>
    </x:border>
    <x:border>
      <x:left style="thin">
        <x:color rgb="FFD8DEE8"/>
      </x:left>
    </x:border>
    <x:border>
      <x:right style="thin">
        <x:color rgb="FFD8DEE8"/>
      </x:right>
    </x:border>
  </x:borders>
  <x:cellStyleXfs count="1">
    <x:xf numFmtId="0" fontId="0" fillId="0" borderId="0"/>
  </x:cellStyleXfs>
  <x:cellXfs count="38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0" fontId="4" fillId="0" borderId="13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vertical="center" wrapText="1"/>
    </x:xf>
    <x:xf numFmtId="0" fontId="4" fillId="0" borderId="15" xfId="0" applyNumberFormat="1" applyFont="1" applyFill="1" applyBorder="1" applyAlignment="1">
      <x:alignment vertical="center" wrapText="1"/>
    </x:xf>
    <x:xf numFmtId="0" fontId="4" fillId="0" borderId="16" xfId="0" applyNumberFormat="1" applyFont="1" applyFill="1" applyBorder="1" applyAlignment="1">
      <x:alignment vertical="center" wrapText="1"/>
    </x:xf>
    <x:xf numFmtId="0" fontId="4" fillId="0" borderId="17" xfId="0" applyNumberFormat="1" applyFont="1" applyFill="1" applyBorder="1" applyAlignment="1">
      <x:alignment vertical="center" wrapText="1"/>
    </x:xf>
    <x:xf numFmtId="0" fontId="4" fillId="0" borderId="18" xfId="0" applyNumberFormat="1" applyFont="1" applyFill="1" applyBorder="1" applyAlignment="1">
      <x:alignment vertical="center" wrapText="1"/>
    </x:xf>
    <x:xf numFmtId="0" fontId="4" fillId="0" borderId="19" xfId="0" applyNumberFormat="1" applyFont="1" applyFill="1" applyBorder="1" applyAlignment="1">
      <x:alignment vertical="center" wrapText="1"/>
    </x:xf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0" fontId="4" fillId="0" borderId="22" xfId="0" applyNumberFormat="1" applyFont="1" applyFill="1" applyBorder="1"/>
    <x:xf numFmtId="0" fontId="4" fillId="0" borderId="23" xfId="0" applyNumberFormat="1" applyFont="1" applyFill="1" applyBorder="1"/>
    <x:xf numFmtId="0" fontId="4" fillId="0" borderId="24" xfId="0" applyNumberFormat="1" applyFont="1" applyFill="1" applyBorder="1"/>
    <x:xf numFmtId="0" fontId="4" fillId="0" borderId="25" xfId="0" applyNumberFormat="1" applyFont="1" applyFill="1" applyBorder="1"/>
    <x:xf numFmtId="0" fontId="4" fillId="0" borderId="20" xfId="0" applyNumberFormat="1" applyFont="1" applyFill="1" applyBorder="1" applyAlignment="1">
      <x:alignment wrapText="1"/>
    </x:xf>
    <x:xf numFmtId="0" fontId="4" fillId="0" borderId="21" xfId="0" applyNumberFormat="1" applyFont="1" applyFill="1" applyBorder="1" applyAlignment="1">
      <x:alignment wrapText="1"/>
    </x:xf>
    <x:xf numFmtId="0" fontId="4" fillId="0" borderId="22" xfId="0" applyNumberFormat="1" applyFont="1" applyFill="1" applyBorder="1" applyAlignment="1">
      <x:alignment wrapText="1"/>
    </x:xf>
    <x:xf numFmtId="0" fontId="4" fillId="0" borderId="23" xfId="0" applyNumberFormat="1" applyFont="1" applyFill="1" applyBorder="1" applyAlignment="1">
      <x:alignment wrapText="1"/>
    </x:xf>
    <x:xf numFmtId="0" fontId="4" fillId="0" borderId="24" xfId="0" applyNumberFormat="1" applyFont="1" applyFill="1" applyBorder="1" applyAlignment="1">
      <x:alignment wrapText="1"/>
    </x:xf>
    <x:xf numFmtId="0" fontId="4" fillId="0" borderId="25" xfId="0" applyNumberFormat="1" applyFont="1" applyFill="1" applyBorder="1" applyAlignment="1">
      <x:alignment wrapText="1"/>
    </x:xf>
    <x:xf numFmtId="0" fontId="4" fillId="0" borderId="20" xfId="0" applyNumberFormat="1" applyFont="1" applyFill="1" applyBorder="1" applyAlignment="1">
      <x:alignment vertical="center" wrapText="1"/>
    </x:xf>
    <x:xf numFmtId="0" fontId="4" fillId="0" borderId="21" xfId="0" applyNumberFormat="1" applyFont="1" applyFill="1" applyBorder="1" applyAlignment="1">
      <x:alignment vertical="center" wrapText="1"/>
    </x:xf>
    <x:xf numFmtId="0" fontId="4" fillId="0" borderId="22" xfId="0" applyNumberFormat="1" applyFont="1" applyFill="1" applyBorder="1" applyAlignment="1">
      <x:alignment vertical="center" wrapText="1"/>
    </x:xf>
    <x:xf numFmtId="0" fontId="4" fillId="0" borderId="23" xfId="0" applyNumberFormat="1" applyFont="1" applyFill="1" applyBorder="1" applyAlignment="1">
      <x:alignment vertical="center" wrapText="1"/>
    </x:xf>
    <x:xf numFmtId="0" fontId="4" fillId="0" borderId="24" xfId="0" applyNumberFormat="1" applyFont="1" applyFill="1" applyBorder="1" applyAlignment="1">
      <x:alignment vertical="center" wrapText="1"/>
    </x:xf>
    <x:xf numFmtId="0" fontId="4" fillId="0" borderId="25" xfId="0" applyNumberFormat="1" applyFont="1" applyFill="1" applyBorder="1" applyAlignment="1">
      <x:alignment vertical="center" wrapText="1"/>
    </x:xf>
    <x:xf numFmtId="0" fontId="3" fillId="4" borderId="26" xfId="0" applyNumberFormat="1" applyFont="1" applyFill="1" applyBorder="1"/>
    <x:xf numFmtId="0" fontId="3" fillId="4" borderId="27" xfId="0" applyNumberFormat="1" applyFont="1" applyFill="1" applyBorder="1"/>
    <x:xf numFmtId="0" fontId="3" fillId="4" borderId="28" xfId="0" applyNumberFormat="1" applyFont="1" applyFill="1" applyBorder="1"/>
    <x:xf numFmtId="0" fontId="3" fillId="4" borderId="26" xfId="0" applyNumberFormat="1" applyFont="1" applyFill="1" applyBorder="1" applyAlignment="1">
      <x:alignment wrapText="1"/>
    </x:xf>
    <x:xf numFmtId="0" fontId="3" fillId="4" borderId="27" xfId="0" applyNumberFormat="1" applyFont="1" applyFill="1" applyBorder="1" applyAlignment="1">
      <x:alignment wrapText="1"/>
    </x:xf>
    <x:xf numFmtId="0" fontId="3" fillId="4" borderId="28" xfId="0" applyNumberFormat="1" applyFont="1" applyFill="1" applyBorder="1" applyAlignment="1">
      <x:alignment wrapText="1"/>
    </x:xf>
    <x:xf numFmtId="0" fontId="3" fillId="4" borderId="26" xfId="0" applyNumberFormat="1" applyFont="1" applyFill="1" applyBorder="1" applyAlignment="1">
      <x:alignment horizontal="center" wrapText="1"/>
    </x:xf>
    <x:xf numFmtId="0" fontId="3" fillId="4" borderId="27" xfId="0" applyNumberFormat="1" applyFont="1" applyFill="1" applyBorder="1" applyAlignment="1">
      <x:alignment horizontal="center" wrapText="1"/>
    </x:xf>
    <x:xf numFmtId="0" fontId="3" fillId="4" borderId="28" xfId="0" applyNumberFormat="1" applyFont="1" applyFill="1" applyBorder="1" applyAlignment="1">
      <x:alignment horizontal="center" wrapText="1"/>
    </x:xf>
    <x:xf numFmtId="0" fontId="3" fillId="4" borderId="26" xfId="0" applyNumberFormat="1" applyFont="1" applyFill="1" applyBorder="1" applyAlignment="1">
      <x:alignment horizontal="center" vertical="center" wrapText="1"/>
    </x:xf>
    <x:xf numFmtId="0" fontId="3" fillId="4" borderId="27" xfId="0" applyNumberFormat="1" applyFont="1" applyFill="1" applyBorder="1" applyAlignment="1">
      <x:alignment horizontal="center" vertical="center" wrapText="1"/>
    </x:xf>
    <x:xf numFmtId="0" fontId="3" fillId="4" borderId="28" xfId="0" applyNumberFormat="1" applyFont="1" applyFill="1" applyBorder="1" applyAlignment="1">
      <x:alignment horizontal="center" vertical="center" wrapText="1"/>
    </x:xf>
    <x:xf numFmtId="0" fontId="3" fillId="4" borderId="29" xfId="0" applyNumberFormat="1" applyFont="1" applyFill="1" applyBorder="1"/>
    <x:xf numFmtId="0" fontId="3" fillId="4" borderId="30" xfId="0" applyNumberFormat="1" applyFont="1" applyFill="1" applyBorder="1"/>
    <x:xf numFmtId="0" fontId="3" fillId="4" borderId="31" xfId="0" applyNumberFormat="1" applyFont="1" applyFill="1" applyBorder="1"/>
    <x:xf numFmtId="0" fontId="3" fillId="4" borderId="29" xfId="0" applyNumberFormat="1" applyFont="1" applyFill="1" applyBorder="1" applyAlignment="1">
      <x:alignment wrapText="1"/>
    </x:xf>
    <x:xf numFmtId="0" fontId="3" fillId="4" borderId="30" xfId="0" applyNumberFormat="1" applyFont="1" applyFill="1" applyBorder="1" applyAlignment="1">
      <x:alignment wrapText="1"/>
    </x:xf>
    <x:xf numFmtId="0" fontId="3" fillId="4" borderId="31" xfId="0" applyNumberFormat="1" applyFont="1" applyFill="1" applyBorder="1" applyAlignment="1">
      <x:alignment wrapText="1"/>
    </x:xf>
    <x:xf numFmtId="0" fontId="3" fillId="4" borderId="29" xfId="0" applyNumberFormat="1" applyFont="1" applyFill="1" applyBorder="1" applyAlignment="1">
      <x:alignment horizontal="center" wrapText="1"/>
    </x:xf>
    <x:xf numFmtId="0" fontId="3" fillId="4" borderId="30" xfId="0" applyNumberFormat="1" applyFont="1" applyFill="1" applyBorder="1" applyAlignment="1">
      <x:alignment horizontal="center" wrapText="1"/>
    </x:xf>
    <x:xf numFmtId="0" fontId="3" fillId="4" borderId="31" xfId="0" applyNumberFormat="1" applyFont="1" applyFill="1" applyBorder="1" applyAlignment="1">
      <x:alignment horizontal="center" wrapText="1"/>
    </x:xf>
    <x:xf numFmtId="0" fontId="3" fillId="4" borderId="29" xfId="0" applyNumberFormat="1" applyFont="1" applyFill="1" applyBorder="1" applyAlignment="1">
      <x:alignment horizontal="center" vertical="center" wrapText="1"/>
    </x:xf>
    <x:xf numFmtId="0" fontId="3" fillId="4" borderId="30" xfId="0" applyNumberFormat="1" applyFont="1" applyFill="1" applyBorder="1" applyAlignment="1">
      <x:alignment horizontal="center" vertical="center" wrapText="1"/>
    </x:xf>
    <x:xf numFmtId="0" fontId="3" fillId="4" borderId="31" xfId="0" applyNumberFormat="1" applyFont="1" applyFill="1" applyBorder="1" applyAlignment="1">
      <x:alignment horizontal="center" vertical="center" wrapText="1"/>
    </x:xf>
    <x:xf numFmtId="0" fontId="4" fillId="0" borderId="32" xfId="0" applyNumberFormat="1" applyFont="1" applyFill="1" applyBorder="1"/>
    <x:xf numFmtId="0" fontId="4" fillId="0" borderId="33" xfId="0" applyNumberFormat="1" applyFont="1" applyFill="1" applyBorder="1"/>
    <x:xf numFmtId="0" fontId="4" fillId="0" borderId="32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33" xfId="0" applyNumberFormat="1" applyFont="1" applyFill="1" applyBorder="1" applyAlignment="1">
      <x:alignment wrapText="1"/>
    </x:xf>
    <x:xf numFmtId="0" fontId="4" fillId="0" borderId="3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33" xfId="0" applyNumberFormat="1" applyFont="1" applyFill="1" applyBorder="1" applyAlignment="1">
      <x:alignment vertical="center" wrapText="1"/>
    </x:xf>
    <x:xf numFmtId="0" fontId="4" fillId="0" borderId="34" xfId="0" applyNumberFormat="1" applyFont="1" applyFill="1" applyBorder="1"/>
    <x:xf numFmtId="0" fontId="4" fillId="0" borderId="35" xfId="0" applyNumberFormat="1" applyFont="1" applyFill="1" applyBorder="1"/>
    <x:xf numFmtId="0" fontId="4" fillId="0" borderId="34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35" xfId="0" applyNumberFormat="1" applyFont="1" applyFill="1" applyBorder="1" applyAlignment="1">
      <x:alignment wrapText="1"/>
    </x:xf>
    <x:xf numFmtId="0" fontId="4" fillId="0" borderId="34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35" xfId="0" applyNumberFormat="1" applyFont="1" applyFill="1" applyBorder="1" applyAlignment="1">
      <x:alignment vertical="center" wrapText="1"/>
    </x:xf>
    <x:xf numFmtId="200" fontId="4" fillId="0" borderId="15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4" fillId="0" borderId="18" xfId="0" applyNumberFormat="1" applyFont="1" applyFill="1" applyBorder="1" applyAlignment="1">
      <x:alignment vertical="center" wrapText="1"/>
    </x:xf>
    <x:xf numFmtId="200" fontId="4" fillId="0" borderId="2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0" fontId="4" fillId="0" borderId="24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200" fontId="4" fillId="6" borderId="15" xfId="0" applyNumberFormat="1" applyFont="1" applyFill="1" applyBorder="1" applyAlignment="1">
      <x:alignment vertical="center" wrapText="1"/>
    </x:xf>
    <x:xf numFmtId="0" fontId="4" fillId="6" borderId="16" xfId="0" applyNumberFormat="1" applyFont="1" applyFill="1" applyBorder="1" applyAlignment="1">
      <x:alignment vertical="center" wrapText="1"/>
    </x:xf>
    <x:xf numFmtId="0" fontId="4" fillId="6" borderId="32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200" fontId="4" fillId="6" borderId="0" xfId="0" applyNumberFormat="1" applyFont="1" applyFill="1" applyBorder="1" applyAlignment="1">
      <x:alignment vertical="center" wrapText="1"/>
    </x:xf>
    <x:xf numFmtId="0" fontId="4" fillId="6" borderId="33" xfId="0" applyNumberFormat="1" applyFont="1" applyFill="1" applyBorder="1" applyAlignment="1">
      <x:alignment vertical="center" wrapText="1"/>
    </x:xf>
    <x:xf numFmtId="0" fontId="4" fillId="6" borderId="20" xfId="0" applyNumberFormat="1" applyFont="1" applyFill="1" applyBorder="1" applyAlignment="1">
      <x:alignment vertical="center" wrapText="1"/>
    </x:xf>
    <x:xf numFmtId="0" fontId="4" fillId="6" borderId="21" xfId="0" applyNumberFormat="1" applyFont="1" applyFill="1" applyBorder="1" applyAlignment="1">
      <x:alignment vertical="center" wrapText="1"/>
    </x:xf>
    <x:xf numFmtId="200" fontId="4" fillId="6" borderId="21" xfId="0" applyNumberFormat="1" applyFont="1" applyFill="1" applyBorder="1" applyAlignment="1">
      <x:alignment vertical="center" wrapText="1"/>
    </x:xf>
    <x:xf numFmtId="0" fontId="4" fillId="6" borderId="22" xfId="0" applyNumberFormat="1" applyFont="1" applyFill="1" applyBorder="1" applyAlignment="1">
      <x:alignment vertical="center" wrapText="1"/>
    </x:xf>
    <x:xf numFmtId="0" fontId="4" fillId="6" borderId="34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200" fontId="4" fillId="6" borderId="1" xfId="0" applyNumberFormat="1" applyFont="1" applyFill="1" applyBorder="1" applyAlignment="1">
      <x:alignment vertical="center" wrapText="1"/>
    </x:xf>
    <x:xf numFmtId="0" fontId="4" fillId="6" borderId="35" xfId="0" applyNumberFormat="1" applyFont="1" applyFill="1" applyBorder="1" applyAlignment="1">
      <x:alignment vertical="center" wrapText="1"/>
    </x:xf>
    <x:xf numFmtId="0" fontId="4" fillId="7" borderId="32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200" fontId="4" fillId="7" borderId="0" xfId="0" applyNumberFormat="1" applyFont="1" applyFill="1" applyBorder="1" applyAlignment="1">
      <x:alignment vertical="center" wrapText="1"/>
    </x:xf>
    <x:xf numFmtId="0" fontId="4" fillId="7" borderId="33" xfId="0" applyNumberFormat="1" applyFont="1" applyFill="1" applyBorder="1" applyAlignment="1">
      <x:alignment vertical="center" wrapText="1"/>
    </x:xf>
    <x:xf numFmtId="0" fontId="4" fillId="7" borderId="17" xfId="0" applyNumberFormat="1" applyFont="1" applyFill="1" applyBorder="1" applyAlignment="1">
      <x:alignment vertical="center" wrapText="1"/>
    </x:xf>
    <x:xf numFmtId="0" fontId="4" fillId="7" borderId="18" xfId="0" applyNumberFormat="1" applyFont="1" applyFill="1" applyBorder="1" applyAlignment="1">
      <x:alignment vertical="center" wrapText="1"/>
    </x:xf>
    <x:xf numFmtId="200" fontId="4" fillId="7" borderId="18" xfId="0" applyNumberFormat="1" applyFont="1" applyFill="1" applyBorder="1" applyAlignment="1">
      <x:alignment vertical="center" wrapText="1"/>
    </x:xf>
    <x:xf numFmtId="0" fontId="4" fillId="7" borderId="19" xfId="0" applyNumberFormat="1" applyFont="1" applyFill="1" applyBorder="1" applyAlignment="1">
      <x:alignment vertical="center" wrapText="1"/>
    </x:xf>
    <x:xf numFmtId="0" fontId="4" fillId="7" borderId="34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200" fontId="4" fillId="7" borderId="1" xfId="0" applyNumberFormat="1" applyFont="1" applyFill="1" applyBorder="1" applyAlignment="1">
      <x:alignment vertical="center" wrapText="1"/>
    </x:xf>
    <x:xf numFmtId="0" fontId="4" fillId="7" borderId="35" xfId="0" applyNumberFormat="1" applyFont="1" applyFill="1" applyBorder="1" applyAlignment="1">
      <x:alignment vertical="center" wrapText="1"/>
    </x:xf>
    <x:xf numFmtId="0" fontId="4" fillId="7" borderId="23" xfId="0" applyNumberFormat="1" applyFont="1" applyFill="1" applyBorder="1" applyAlignment="1">
      <x:alignment vertical="center" wrapText="1"/>
    </x:xf>
    <x:xf numFmtId="0" fontId="4" fillId="7" borderId="24" xfId="0" applyNumberFormat="1" applyFont="1" applyFill="1" applyBorder="1" applyAlignment="1">
      <x:alignment vertical="center" wrapText="1"/>
    </x:xf>
    <x:xf numFmtId="200" fontId="4" fillId="7" borderId="24" xfId="0" applyNumberFormat="1" applyFont="1" applyFill="1" applyBorder="1" applyAlignment="1">
      <x:alignment vertical="center" wrapText="1"/>
    </x:xf>
    <x:xf numFmtId="0" fontId="4" fillId="7" borderId="25" xfId="0" applyNumberFormat="1" applyFont="1" applyFill="1" applyBorder="1" applyAlignment="1">
      <x:alignment vertical="center" wrapText="1"/>
    </x:xf>
    <x:xf numFmtId="0" fontId="4" fillId="7" borderId="14" xfId="0" applyNumberFormat="1" applyFont="1" applyFill="1" applyBorder="1" applyAlignment="1">
      <x:alignment vertical="center" wrapText="1"/>
    </x:xf>
    <x:xf numFmtId="0" fontId="4" fillId="7" borderId="15" xfId="0" applyNumberFormat="1" applyFont="1" applyFill="1" applyBorder="1" applyAlignment="1">
      <x:alignment vertical="center" wrapText="1"/>
    </x:xf>
    <x:xf numFmtId="0" fontId="4" fillId="7" borderId="16" xfId="0" applyNumberFormat="1" applyFont="1" applyFill="1" applyBorder="1" applyAlignment="1">
      <x:alignment vertical="center" wrapText="1"/>
    </x:xf>
    <x:xf numFmtId="0" fontId="4" fillId="7" borderId="20" xfId="0" applyNumberFormat="1" applyFont="1" applyFill="1" applyBorder="1" applyAlignment="1">
      <x:alignment vertical="center" wrapText="1"/>
    </x:xf>
    <x:xf numFmtId="0" fontId="4" fillId="7" borderId="21" xfId="0" applyNumberFormat="1" applyFont="1" applyFill="1" applyBorder="1" applyAlignment="1">
      <x:alignment vertical="center" wrapText="1"/>
    </x:xf>
    <x:xf numFmtId="0" fontId="4" fillId="7" borderId="22" xfId="0" applyNumberFormat="1" applyFont="1" applyFill="1" applyBorder="1" applyAlignment="1">
      <x:alignment vertical="center" wrapText="1"/>
    </x:xf>
    <x:xf numFmtId="0" fontId="4" fillId="8" borderId="32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0" fontId="4" fillId="8" borderId="33" xfId="0" applyNumberFormat="1" applyFont="1" applyFill="1" applyBorder="1" applyAlignment="1">
      <x:alignment vertical="center" wrapText="1"/>
    </x:xf>
    <x:xf numFmtId="0" fontId="4" fillId="8" borderId="34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vertical="center" wrapText="1"/>
    </x:xf>
    <x:xf numFmtId="0" fontId="4" fillId="8" borderId="35" xfId="0" applyNumberFormat="1" applyFont="1" applyFill="1" applyBorder="1" applyAlignment="1">
      <x:alignment vertical="center" wrapText="1"/>
    </x:xf>
    <x:xf numFmtId="201" fontId="4" fillId="7" borderId="15" xfId="0" applyNumberFormat="1" applyFont="1" applyFill="1" applyBorder="1" applyAlignment="1">
      <x:alignment vertical="center" wrapText="1"/>
    </x:xf>
    <x:xf numFmtId="201" fontId="4" fillId="7" borderId="0" xfId="0" applyNumberFormat="1" applyFont="1" applyFill="1" applyBorder="1" applyAlignment="1">
      <x:alignment vertical="center" wrapText="1"/>
    </x:xf>
    <x:xf numFmtId="201" fontId="4" fillId="8" borderId="0" xfId="0" applyNumberFormat="1" applyFont="1" applyFill="1" applyBorder="1" applyAlignment="1">
      <x:alignment vertical="center" wrapText="1"/>
    </x:xf>
    <x:xf numFmtId="201" fontId="4" fillId="7" borderId="18" xfId="0" applyNumberFormat="1" applyFont="1" applyFill="1" applyBorder="1" applyAlignment="1">
      <x:alignment vertical="center" wrapText="1"/>
    </x:xf>
    <x:xf numFmtId="201" fontId="4" fillId="7" borderId="21" xfId="0" applyNumberFormat="1" applyFont="1" applyFill="1" applyBorder="1" applyAlignment="1">
      <x:alignment vertical="center" wrapText="1"/>
    </x:xf>
    <x:xf numFmtId="201" fontId="4" fillId="7" borderId="1" xfId="0" applyNumberFormat="1" applyFont="1" applyFill="1" applyBorder="1" applyAlignment="1">
      <x:alignment vertical="center" wrapText="1"/>
    </x:xf>
    <x:xf numFmtId="201" fontId="4" fillId="8" borderId="1" xfId="0" applyNumberFormat="1" applyFont="1" applyFill="1" applyBorder="1" applyAlignment="1">
      <x:alignment vertical="center" wrapText="1"/>
    </x:xf>
    <x:xf numFmtId="201" fontId="4" fillId="7" borderId="24" xfId="0" applyNumberFormat="1" applyFont="1" applyFill="1" applyBorder="1" applyAlignment="1">
      <x:alignment vertical="center" wrapText="1"/>
    </x:xf>
    <x:xf numFmtId="202" fontId="4" fillId="7" borderId="0" xfId="0" applyNumberFormat="1" applyFont="1" applyFill="1" applyBorder="1" applyAlignment="1">
      <x:alignment vertical="center" wrapText="1"/>
    </x:xf>
    <x:xf numFmtId="202" fontId="4" fillId="7" borderId="1" xfId="0" applyNumberFormat="1" applyFont="1" applyFill="1" applyBorder="1" applyAlignment="1">
      <x:alignment vertical="center" wrapText="1"/>
    </x:xf>
    <x:xf numFmtId="202" fontId="4" fillId="8" borderId="0" xfId="0" applyNumberFormat="1" applyFont="1" applyFill="1" applyBorder="1" applyAlignment="1">
      <x:alignment vertical="center" wrapText="1"/>
    </x:xf>
    <x:xf numFmtId="202" fontId="4" fillId="8" borderId="1" xfId="0" applyNumberFormat="1" applyFont="1" applyFill="1" applyBorder="1" applyAlignment="1">
      <x:alignment vertical="center" wrapText="1"/>
    </x:xf>
    <x:xf numFmtId="202" fontId="4" fillId="7" borderId="15" xfId="0" applyNumberFormat="1" applyFont="1" applyFill="1" applyBorder="1" applyAlignment="1">
      <x:alignment vertical="center" wrapText="1"/>
    </x:xf>
    <x:xf numFmtId="202" fontId="4" fillId="7" borderId="18" xfId="0" applyNumberFormat="1" applyFont="1" applyFill="1" applyBorder="1" applyAlignment="1">
      <x:alignment vertical="center" wrapText="1"/>
    </x:xf>
    <x:xf numFmtId="202" fontId="4" fillId="7" borderId="21" xfId="0" applyNumberFormat="1" applyFont="1" applyFill="1" applyBorder="1" applyAlignment="1">
      <x:alignment vertical="center" wrapText="1"/>
    </x:xf>
    <x:xf numFmtId="202" fontId="4" fillId="7" borderId="24" xfId="0" applyNumberFormat="1" applyFont="1" applyFill="1" applyBorder="1" applyAlignment="1">
      <x:alignment vertical="center" wrapText="1"/>
    </x:xf>
    <x:xf numFmtId="0" fontId="4" fillId="3" borderId="14" xfId="0" applyNumberFormat="1" applyFont="1" applyFill="1" applyBorder="1" applyAlignment="1">
      <x:alignment vertical="center" wrapText="1"/>
    </x:xf>
    <x:xf numFmtId="0" fontId="4" fillId="3" borderId="15" xfId="0" applyNumberFormat="1" applyFont="1" applyFill="1" applyBorder="1" applyAlignment="1">
      <x:alignment vertical="center" wrapText="1"/>
    </x:xf>
    <x:xf numFmtId="0" fontId="4" fillId="3" borderId="16" xfId="0" applyNumberFormat="1" applyFont="1" applyFill="1" applyBorder="1" applyAlignment="1">
      <x:alignment vertical="center" wrapText="1"/>
    </x:xf>
    <x:xf numFmtId="0" fontId="6" fillId="3" borderId="14" xfId="0" applyNumberFormat="1" applyFont="1" applyFill="1" applyBorder="1" applyAlignment="1">
      <x:alignment vertical="center" wrapText="1"/>
    </x:xf>
    <x:xf numFmtId="0" fontId="6" fillId="3" borderId="15" xfId="0" applyNumberFormat="1" applyFont="1" applyFill="1" applyBorder="1" applyAlignment="1">
      <x:alignment vertical="center" wrapText="1"/>
    </x:xf>
    <x:xf numFmtId="0" fontId="6" fillId="3" borderId="16" xfId="0" applyNumberFormat="1" applyFont="1" applyFill="1" applyBorder="1" applyAlignment="1">
      <x:alignment vertical="center" wrapText="1"/>
    </x:xf>
    <x:xf numFmtId="0" fontId="4" fillId="3" borderId="20" xfId="0" applyNumberFormat="1" applyFont="1" applyFill="1" applyBorder="1" applyAlignment="1">
      <x:alignment vertical="center" wrapText="1"/>
    </x:xf>
    <x:xf numFmtId="0" fontId="4" fillId="3" borderId="21" xfId="0" applyNumberFormat="1" applyFont="1" applyFill="1" applyBorder="1" applyAlignment="1">
      <x:alignment vertical="center" wrapText="1"/>
    </x:xf>
    <x:xf numFmtId="0" fontId="4" fillId="3" borderId="22" xfId="0" applyNumberFormat="1" applyFont="1" applyFill="1" applyBorder="1" applyAlignment="1">
      <x:alignment vertical="center" wrapText="1"/>
    </x:xf>
    <x:xf numFmtId="0" fontId="6" fillId="3" borderId="20" xfId="0" applyNumberFormat="1" applyFont="1" applyFill="1" applyBorder="1" applyAlignment="1">
      <x:alignment vertical="center" wrapText="1"/>
    </x:xf>
    <x:xf numFmtId="0" fontId="6" fillId="3" borderId="21" xfId="0" applyNumberFormat="1" applyFont="1" applyFill="1" applyBorder="1" applyAlignment="1">
      <x:alignment vertical="center" wrapText="1"/>
    </x:xf>
    <x:xf numFmtId="0" fontId="6" fillId="3" borderId="22" xfId="0" applyNumberFormat="1" applyFont="1" applyFill="1" applyBorder="1" applyAlignment="1">
      <x:alignment vertical="center" wrapText="1"/>
    </x:xf>
    <x:xf numFmtId="0" fontId="4" fillId="8" borderId="17" xfId="0" applyNumberFormat="1" applyFont="1" applyFill="1" applyBorder="1" applyAlignment="1">
      <x:alignment vertical="center" wrapText="1"/>
    </x:xf>
    <x:xf numFmtId="0" fontId="4" fillId="8" borderId="18" xfId="0" applyNumberFormat="1" applyFont="1" applyFill="1" applyBorder="1" applyAlignment="1">
      <x:alignment vertical="center" wrapText="1"/>
    </x:xf>
    <x:xf numFmtId="0" fontId="4" fillId="8" borderId="19" xfId="0" applyNumberFormat="1" applyFont="1" applyFill="1" applyBorder="1" applyAlignment="1">
      <x:alignment vertical="center" wrapText="1"/>
    </x:xf>
    <x:xf numFmtId="0" fontId="7" fillId="8" borderId="32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vertical="center" wrapText="1"/>
    </x:xf>
    <x:xf numFmtId="0" fontId="7" fillId="8" borderId="33" xfId="0" applyNumberFormat="1" applyFont="1" applyFill="1" applyBorder="1" applyAlignment="1">
      <x:alignment vertical="center" wrapText="1"/>
    </x:xf>
    <x:xf numFmtId="0" fontId="7" fillId="8" borderId="17" xfId="0" applyNumberFormat="1" applyFont="1" applyFill="1" applyBorder="1" applyAlignment="1">
      <x:alignment vertical="center" wrapText="1"/>
    </x:xf>
    <x:xf numFmtId="0" fontId="7" fillId="8" borderId="18" xfId="0" applyNumberFormat="1" applyFont="1" applyFill="1" applyBorder="1" applyAlignment="1">
      <x:alignment vertical="center" wrapText="1"/>
    </x:xf>
    <x:xf numFmtId="0" fontId="7" fillId="8" borderId="19" xfId="0" applyNumberFormat="1" applyFont="1" applyFill="1" applyBorder="1" applyAlignment="1">
      <x:alignment vertical="center" wrapText="1"/>
    </x:xf>
    <x:xf numFmtId="0" fontId="4" fillId="8" borderId="23" xfId="0" applyNumberFormat="1" applyFont="1" applyFill="1" applyBorder="1" applyAlignment="1">
      <x:alignment vertical="center" wrapText="1"/>
    </x:xf>
    <x:xf numFmtId="0" fontId="4" fillId="8" borderId="24" xfId="0" applyNumberFormat="1" applyFont="1" applyFill="1" applyBorder="1" applyAlignment="1">
      <x:alignment vertical="center" wrapText="1"/>
    </x:xf>
    <x:xf numFmtId="0" fontId="4" fillId="8" borderId="25" xfId="0" applyNumberFormat="1" applyFont="1" applyFill="1" applyBorder="1" applyAlignment="1">
      <x:alignment vertical="center" wrapText="1"/>
    </x:xf>
    <x:xf numFmtId="0" fontId="7" fillId="8" borderId="34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vertical="center" wrapText="1"/>
    </x:xf>
    <x:xf numFmtId="0" fontId="7" fillId="8" borderId="35" xfId="0" applyNumberFormat="1" applyFont="1" applyFill="1" applyBorder="1" applyAlignment="1">
      <x:alignment vertical="center" wrapText="1"/>
    </x:xf>
    <x:xf numFmtId="0" fontId="7" fillId="8" borderId="23" xfId="0" applyNumberFormat="1" applyFont="1" applyFill="1" applyBorder="1" applyAlignment="1">
      <x:alignment vertical="center" wrapText="1"/>
    </x:xf>
    <x:xf numFmtId="0" fontId="7" fillId="8" borderId="24" xfId="0" applyNumberFormat="1" applyFont="1" applyFill="1" applyBorder="1" applyAlignment="1">
      <x:alignment vertical="center" wrapText="1"/>
    </x:xf>
    <x:xf numFmtId="0" fontId="7" fillId="8" borderId="25" xfId="0" applyNumberFormat="1" applyFont="1" applyFill="1" applyBorder="1" applyAlignment="1">
      <x:alignment vertical="center" wrapText="1"/>
    </x:xf>
    <x:xf numFmtId="203" fontId="4" fillId="0" borderId="15" xfId="0" applyNumberFormat="1" applyFont="1" applyFill="1" applyBorder="1" applyAlignment="1">
      <x:alignment vertical="center" wrapText="1"/>
    </x:xf>
    <x:xf numFmtId="203" fontId="4" fillId="0" borderId="0" xfId="0" applyNumberFormat="1" applyFont="1" applyFill="1" applyBorder="1" applyAlignment="1">
      <x:alignment vertical="center" wrapText="1"/>
    </x:xf>
    <x:xf numFmtId="203" fontId="4" fillId="0" borderId="18" xfId="0" applyNumberFormat="1" applyFont="1" applyFill="1" applyBorder="1" applyAlignment="1">
      <x:alignment vertical="center" wrapText="1"/>
    </x:xf>
    <x:xf numFmtId="203" fontId="6" fillId="3" borderId="15" xfId="0" applyNumberFormat="1" applyFont="1" applyFill="1" applyBorder="1" applyAlignment="1">
      <x:alignment vertical="center" wrapText="1"/>
    </x:xf>
    <x:xf numFmtId="203" fontId="7" fillId="8" borderId="0" xfId="0" applyNumberFormat="1" applyFont="1" applyFill="1" applyBorder="1" applyAlignment="1">
      <x:alignment vertical="center" wrapText="1"/>
    </x:xf>
    <x:xf numFmtId="203" fontId="4" fillId="0" borderId="21" xfId="0" applyNumberFormat="1" applyFont="1" applyFill="1" applyBorder="1" applyAlignment="1">
      <x:alignment vertical="center" wrapText="1"/>
    </x:xf>
    <x:xf numFmtId="203" fontId="4" fillId="0" borderId="1" xfId="0" applyNumberFormat="1" applyFont="1" applyFill="1" applyBorder="1" applyAlignment="1">
      <x:alignment vertical="center" wrapText="1"/>
    </x:xf>
    <x:xf numFmtId="203" fontId="4" fillId="0" borderId="24" xfId="0" applyNumberFormat="1" applyFont="1" applyFill="1" applyBorder="1" applyAlignment="1">
      <x:alignment vertical="center" wrapText="1"/>
    </x:xf>
    <x:xf numFmtId="203" fontId="6" fillId="3" borderId="21" xfId="0" applyNumberFormat="1" applyFont="1" applyFill="1" applyBorder="1" applyAlignment="1">
      <x:alignment vertical="center" wrapText="1"/>
    </x:xf>
    <x:xf numFmtId="203" fontId="7" fillId="8" borderId="1" xfId="0" applyNumberFormat="1" applyFont="1" applyFill="1" applyBorder="1" applyAlignment="1">
      <x:alignment vertical="center" wrapText="1"/>
    </x:xf>
    <x:xf numFmtId="204" fontId="7" fillId="8" borderId="18" xfId="0" applyNumberFormat="1" applyFont="1" applyFill="1" applyBorder="1" applyAlignment="1">
      <x:alignment vertical="center" wrapText="1"/>
    </x:xf>
    <x:xf numFmtId="204" fontId="7" fillId="8" borderId="24" xfId="0" applyNumberFormat="1" applyFont="1" applyFill="1" applyBorder="1" applyAlignment="1">
      <x:alignment vertical="center" wrapText="1"/>
    </x:xf>
    <x:xf numFmtId="205" fontId="4" fillId="0" borderId="15" xfId="0" applyNumberFormat="1" applyFont="1" applyFill="1" applyBorder="1" applyAlignment="1">
      <x:alignment vertical="center" wrapText="1"/>
    </x:xf>
    <x:xf numFmtId="205" fontId="4" fillId="0" borderId="16" xfId="0" applyNumberFormat="1" applyFont="1" applyFill="1" applyBorder="1" applyAlignment="1">
      <x:alignment vertical="center" wrapText="1"/>
    </x:xf>
    <x:xf numFmtId="205" fontId="4" fillId="0" borderId="0" xfId="0" applyNumberFormat="1" applyFont="1" applyFill="1" applyBorder="1" applyAlignment="1">
      <x:alignment vertical="center" wrapText="1"/>
    </x:xf>
    <x:xf numFmtId="205" fontId="4" fillId="0" borderId="33" xfId="0" applyNumberFormat="1" applyFont="1" applyFill="1" applyBorder="1" applyAlignment="1">
      <x:alignment vertical="center" wrapText="1"/>
    </x:xf>
    <x:xf numFmtId="205" fontId="4" fillId="0" borderId="18" xfId="0" applyNumberFormat="1" applyFont="1" applyFill="1" applyBorder="1" applyAlignment="1">
      <x:alignment vertical="center" wrapText="1"/>
    </x:xf>
    <x:xf numFmtId="205" fontId="4" fillId="0" borderId="19" xfId="0" applyNumberFormat="1" applyFont="1" applyFill="1" applyBorder="1" applyAlignment="1">
      <x:alignment vertical="center" wrapText="1"/>
    </x:xf>
    <x:xf numFmtId="205" fontId="4" fillId="0" borderId="21" xfId="0" applyNumberFormat="1" applyFont="1" applyFill="1" applyBorder="1" applyAlignment="1">
      <x:alignment vertical="center" wrapText="1"/>
    </x:xf>
    <x:xf numFmtId="205" fontId="4" fillId="0" borderId="22" xfId="0" applyNumberFormat="1" applyFont="1" applyFill="1" applyBorder="1" applyAlignment="1">
      <x:alignment vertical="center" wrapText="1"/>
    </x:xf>
    <x:xf numFmtId="205" fontId="4" fillId="0" borderId="1" xfId="0" applyNumberFormat="1" applyFont="1" applyFill="1" applyBorder="1" applyAlignment="1">
      <x:alignment vertical="center" wrapText="1"/>
    </x:xf>
    <x:xf numFmtId="205" fontId="4" fillId="0" borderId="35" xfId="0" applyNumberFormat="1" applyFont="1" applyFill="1" applyBorder="1" applyAlignment="1">
      <x:alignment vertical="center" wrapText="1"/>
    </x:xf>
    <x:xf numFmtId="205" fontId="4" fillId="0" borderId="24" xfId="0" applyNumberFormat="1" applyFont="1" applyFill="1" applyBorder="1" applyAlignment="1">
      <x:alignment vertical="center" wrapText="1"/>
    </x:xf>
    <x:xf numFmtId="205" fontId="4" fillId="0" borderId="25" xfId="0" applyNumberFormat="1" applyFont="1" applyFill="1" applyBorder="1" applyAlignment="1">
      <x:alignment vertical="center" wrapText="1"/>
    </x:xf>
    <x:xf numFmtId="206" fontId="4" fillId="7" borderId="15" xfId="0" applyNumberFormat="1" applyFont="1" applyFill="1" applyBorder="1" applyAlignment="1">
      <x:alignment vertical="center" wrapText="1"/>
    </x:xf>
    <x:xf numFmtId="206" fontId="4" fillId="7" borderId="0" xfId="0" applyNumberFormat="1" applyFont="1" applyFill="1" applyBorder="1" applyAlignment="1">
      <x:alignment vertical="center" wrapText="1"/>
    </x:xf>
    <x:xf numFmtId="206" fontId="4" fillId="7" borderId="18" xfId="0" applyNumberFormat="1" applyFont="1" applyFill="1" applyBorder="1" applyAlignment="1">
      <x:alignment vertical="center" wrapText="1"/>
    </x:xf>
    <x:xf numFmtId="206" fontId="4" fillId="7" borderId="21" xfId="0" applyNumberFormat="1" applyFont="1" applyFill="1" applyBorder="1" applyAlignment="1">
      <x:alignment vertical="center" wrapText="1"/>
    </x:xf>
    <x:xf numFmtId="206" fontId="4" fillId="7" borderId="1" xfId="0" applyNumberFormat="1" applyFont="1" applyFill="1" applyBorder="1" applyAlignment="1">
      <x:alignment vertical="center" wrapText="1"/>
    </x:xf>
    <x:xf numFmtId="206" fontId="4" fillId="7" borderId="24" xfId="0" applyNumberFormat="1" applyFont="1" applyFill="1" applyBorder="1" applyAlignment="1">
      <x:alignment vertical="center" wrapText="1"/>
    </x:xf>
    <x:xf numFmtId="206" fontId="4" fillId="0" borderId="15" xfId="0" applyNumberFormat="1" applyFont="1" applyFill="1" applyBorder="1" applyAlignment="1">
      <x:alignment vertical="center" wrapText="1"/>
    </x:xf>
    <x:xf numFmtId="206" fontId="4" fillId="0" borderId="0" xfId="0" applyNumberFormat="1" applyFont="1" applyFill="1" applyBorder="1" applyAlignment="1">
      <x:alignment vertical="center" wrapText="1"/>
    </x:xf>
    <x:xf numFmtId="206" fontId="4" fillId="0" borderId="18" xfId="0" applyNumberFormat="1" applyFont="1" applyFill="1" applyBorder="1" applyAlignment="1">
      <x:alignment vertical="center" wrapText="1"/>
    </x:xf>
    <x:xf numFmtId="206" fontId="4" fillId="0" borderId="21" xfId="0" applyNumberFormat="1" applyFont="1" applyFill="1" applyBorder="1" applyAlignment="1">
      <x:alignment vertical="center" wrapText="1"/>
    </x:xf>
    <x:xf numFmtId="206" fontId="4" fillId="0" borderId="1" xfId="0" applyNumberFormat="1" applyFont="1" applyFill="1" applyBorder="1" applyAlignment="1">
      <x:alignment vertical="center" wrapText="1"/>
    </x:xf>
    <x:xf numFmtId="206" fontId="4" fillId="0" borderId="24" xfId="0" applyNumberFormat="1" applyFont="1" applyFill="1" applyBorder="1" applyAlignment="1">
      <x:alignment vertical="center" wrapText="1"/>
    </x:xf>
    <x:xf numFmtId="202" fontId="4" fillId="0" borderId="15" xfId="0" applyNumberFormat="1" applyFont="1" applyFill="1" applyBorder="1" applyAlignment="1">
      <x:alignment vertical="center" wrapText="1"/>
    </x:xf>
    <x:xf numFmtId="202" fontId="4" fillId="0" borderId="0" xfId="0" applyNumberFormat="1" applyFont="1" applyFill="1" applyBorder="1" applyAlignment="1">
      <x:alignment vertical="center" wrapText="1"/>
    </x:xf>
    <x:xf numFmtId="202" fontId="4" fillId="0" borderId="18" xfId="0" applyNumberFormat="1" applyFont="1" applyFill="1" applyBorder="1" applyAlignment="1">
      <x:alignment vertical="center" wrapText="1"/>
    </x:xf>
    <x:xf numFmtId="202" fontId="4" fillId="0" borderId="21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center" wrapText="1"/>
    </x:xf>
    <x:xf numFmtId="202" fontId="4" fillId="0" borderId="24" xfId="0" applyNumberFormat="1" applyFont="1" applyFill="1" applyBorder="1" applyAlignment="1">
      <x:alignment vertical="center" wrapText="1"/>
    </x:xf>
    <x:xf numFmtId="207" fontId="4" fillId="0" borderId="16" xfId="0" applyNumberFormat="1" applyFont="1" applyFill="1" applyBorder="1" applyAlignment="1">
      <x:alignment vertical="center" wrapText="1"/>
    </x:xf>
    <x:xf numFmtId="207" fontId="4" fillId="0" borderId="33" xfId="0" applyNumberFormat="1" applyFont="1" applyFill="1" applyBorder="1" applyAlignment="1">
      <x:alignment vertical="center" wrapText="1"/>
    </x:xf>
    <x:xf numFmtId="207" fontId="4" fillId="0" borderId="19" xfId="0" applyNumberFormat="1" applyFont="1" applyFill="1" applyBorder="1" applyAlignment="1">
      <x:alignment vertical="center" wrapText="1"/>
    </x:xf>
    <x:xf numFmtId="207" fontId="4" fillId="0" borderId="22" xfId="0" applyNumberFormat="1" applyFont="1" applyFill="1" applyBorder="1" applyAlignment="1">
      <x:alignment vertical="center" wrapText="1"/>
    </x:xf>
    <x:xf numFmtId="207" fontId="4" fillId="0" borderId="35" xfId="0" applyNumberFormat="1" applyFont="1" applyFill="1" applyBorder="1" applyAlignment="1">
      <x:alignment vertical="center" wrapText="1"/>
    </x:xf>
    <x:xf numFmtId="207" fontId="4" fillId="0" borderId="25" xfId="0" applyNumberFormat="1" applyFont="1" applyFill="1" applyBorder="1" applyAlignment="1">
      <x:alignment vertical="center" wrapText="1"/>
    </x:xf>
    <x:xf numFmtId="208" fontId="4" fillId="0" borderId="15" xfId="0" applyNumberFormat="1" applyFont="1" applyFill="1" applyBorder="1" applyAlignment="1">
      <x:alignment vertical="center" wrapText="1"/>
    </x:xf>
    <x:xf numFmtId="208" fontId="4" fillId="0" borderId="0" xfId="0" applyNumberFormat="1" applyFont="1" applyFill="1" applyBorder="1" applyAlignment="1">
      <x:alignment vertical="center" wrapText="1"/>
    </x:xf>
    <x:xf numFmtId="208" fontId="4" fillId="0" borderId="18" xfId="0" applyNumberFormat="1" applyFont="1" applyFill="1" applyBorder="1" applyAlignment="1">
      <x:alignment vertical="center" wrapText="1"/>
    </x:xf>
    <x:xf numFmtId="208" fontId="4" fillId="0" borderId="21" xfId="0" applyNumberFormat="1" applyFont="1" applyFill="1" applyBorder="1" applyAlignment="1">
      <x:alignment vertical="center" wrapText="1"/>
    </x:xf>
    <x:xf numFmtId="208" fontId="4" fillId="0" borderId="1" xfId="0" applyNumberFormat="1" applyFont="1" applyFill="1" applyBorder="1" applyAlignment="1">
      <x:alignment vertical="center" wrapText="1"/>
    </x:xf>
    <x:xf numFmtId="208" fontId="4" fillId="0" borderId="24" xfId="0" applyNumberFormat="1" applyFont="1" applyFill="1" applyBorder="1" applyAlignment="1">
      <x:alignment vertical="center" wrapText="1"/>
    </x:xf>
    <x:xf numFmtId="202" fontId="4" fillId="0" borderId="16" xfId="0" applyNumberFormat="1" applyFont="1" applyFill="1" applyBorder="1" applyAlignment="1">
      <x:alignment vertical="center" wrapText="1"/>
    </x:xf>
    <x:xf numFmtId="202" fontId="4" fillId="0" borderId="33" xfId="0" applyNumberFormat="1" applyFont="1" applyFill="1" applyBorder="1" applyAlignment="1">
      <x:alignment vertical="center" wrapText="1"/>
    </x:xf>
    <x:xf numFmtId="202" fontId="4" fillId="0" borderId="19" xfId="0" applyNumberFormat="1" applyFont="1" applyFill="1" applyBorder="1" applyAlignment="1">
      <x:alignment vertical="center" wrapText="1"/>
    </x:xf>
    <x:xf numFmtId="202" fontId="4" fillId="0" borderId="22" xfId="0" applyNumberFormat="1" applyFont="1" applyFill="1" applyBorder="1" applyAlignment="1">
      <x:alignment vertical="center" wrapText="1"/>
    </x:xf>
    <x:xf numFmtId="202" fontId="4" fillId="0" borderId="35" xfId="0" applyNumberFormat="1" applyFont="1" applyFill="1" applyBorder="1" applyAlignment="1">
      <x:alignment vertical="center" wrapText="1"/>
    </x:xf>
    <x:xf numFmtId="202" fontId="4" fillId="0" borderId="25" xfId="0" applyNumberFormat="1" applyFont="1" applyFill="1" applyBorder="1" applyAlignment="1">
      <x:alignment vertical="center" wrapText="1"/>
    </x:xf>
    <x:xf numFmtId="209" fontId="4" fillId="7" borderId="14" xfId="0" applyNumberFormat="1" applyFont="1" applyFill="1" applyBorder="1" applyAlignment="1">
      <x:alignment vertical="center" wrapText="1"/>
    </x:xf>
    <x:xf numFmtId="209" fontId="4" fillId="7" borderId="32" xfId="0" applyNumberFormat="1" applyFont="1" applyFill="1" applyBorder="1" applyAlignment="1">
      <x:alignment vertical="center" wrapText="1"/>
    </x:xf>
    <x:xf numFmtId="209" fontId="4" fillId="7" borderId="17" xfId="0" applyNumberFormat="1" applyFont="1" applyFill="1" applyBorder="1" applyAlignment="1">
      <x:alignment vertical="center" wrapText="1"/>
    </x:xf>
    <x:xf numFmtId="209" fontId="4" fillId="7" borderId="20" xfId="0" applyNumberFormat="1" applyFont="1" applyFill="1" applyBorder="1" applyAlignment="1">
      <x:alignment vertical="center" wrapText="1"/>
    </x:xf>
    <x:xf numFmtId="209" fontId="4" fillId="7" borderId="34" xfId="0" applyNumberFormat="1" applyFont="1" applyFill="1" applyBorder="1" applyAlignment="1">
      <x:alignment vertical="center" wrapText="1"/>
    </x:xf>
    <x:xf numFmtId="209" fontId="4" fillId="7" borderId="23" xfId="0" applyNumberFormat="1" applyFont="1" applyFill="1" applyBorder="1" applyAlignment="1">
      <x:alignment vertical="center" wrapText="1"/>
    </x:xf>
    <x:xf numFmtId="0" fontId="4" fillId="3" borderId="32" xfId="0" applyNumberFormat="1" applyFont="1" applyFill="1" applyBorder="1" applyAlignment="1">
      <x:alignment vertical="center" wrapText="1"/>
    </x:xf>
    <x:xf numFmtId="0" fontId="4" fillId="3" borderId="17" xfId="0" applyNumberFormat="1" applyFont="1" applyFill="1" applyBorder="1" applyAlignment="1">
      <x:alignment vertical="center" wrapText="1"/>
    </x:xf>
    <x:xf numFmtId="0" fontId="4" fillId="3" borderId="34" xfId="0" applyNumberFormat="1" applyFont="1" applyFill="1" applyBorder="1" applyAlignment="1">
      <x:alignment vertical="center" wrapText="1"/>
    </x:xf>
    <x:xf numFmtId="0" fontId="4" fillId="3" borderId="23" xfId="0" applyNumberFormat="1" applyFont="1" applyFill="1" applyBorder="1" applyAlignment="1">
      <x:alignment vertical="center" wrapText="1"/>
    </x:xf>
    <x:xf numFmtId="0" fontId="6" fillId="3" borderId="32" xfId="0" applyNumberFormat="1" applyFont="1" applyFill="1" applyBorder="1" applyAlignment="1">
      <x:alignment vertical="center" wrapText="1"/>
    </x:xf>
    <x:xf numFmtId="0" fontId="6" fillId="3" borderId="17" xfId="0" applyNumberFormat="1" applyFont="1" applyFill="1" applyBorder="1" applyAlignment="1">
      <x:alignment vertical="center" wrapText="1"/>
    </x:xf>
    <x:xf numFmtId="0" fontId="6" fillId="3" borderId="34" xfId="0" applyNumberFormat="1" applyFont="1" applyFill="1" applyBorder="1" applyAlignment="1">
      <x:alignment vertical="center" wrapText="1"/>
    </x:xf>
    <x:xf numFmtId="0" fontId="6" fillId="3" borderId="23" xfId="0" applyNumberFormat="1" applyFont="1" applyFill="1" applyBorder="1" applyAlignment="1">
      <x:alignment vertical="center" wrapText="1"/>
    </x:xf>
    <x:xf numFmtId="210" fontId="4" fillId="0" borderId="18" xfId="0" applyNumberFormat="1" applyFont="1" applyFill="1" applyBorder="1" applyAlignment="1">
      <x:alignment vertical="center" wrapText="1"/>
    </x:xf>
    <x:xf numFmtId="210" fontId="4" fillId="0" borderId="24" xfId="0" applyNumberFormat="1" applyFont="1" applyFill="1" applyBorder="1" applyAlignment="1">
      <x:alignment vertical="center" wrapText="1"/>
    </x:xf>
    <x:xf numFmtId="203" fontId="4" fillId="0" borderId="16" xfId="0" applyNumberFormat="1" applyFont="1" applyFill="1" applyBorder="1" applyAlignment="1">
      <x:alignment vertical="center" wrapText="1"/>
    </x:xf>
    <x:xf numFmtId="203" fontId="4" fillId="0" borderId="33" xfId="0" applyNumberFormat="1" applyFont="1" applyFill="1" applyBorder="1" applyAlignment="1">
      <x:alignment vertical="center" wrapText="1"/>
    </x:xf>
    <x:xf numFmtId="203" fontId="4" fillId="0" borderId="19" xfId="0" applyNumberFormat="1" applyFont="1" applyFill="1" applyBorder="1" applyAlignment="1">
      <x:alignment vertical="center" wrapText="1"/>
    </x:xf>
    <x:xf numFmtId="203" fontId="4" fillId="0" borderId="22" xfId="0" applyNumberFormat="1" applyFont="1" applyFill="1" applyBorder="1" applyAlignment="1">
      <x:alignment vertical="center" wrapText="1"/>
    </x:xf>
    <x:xf numFmtId="203" fontId="4" fillId="0" borderId="35" xfId="0" applyNumberFormat="1" applyFont="1" applyFill="1" applyBorder="1" applyAlignment="1">
      <x:alignment vertical="center" wrapText="1"/>
    </x:xf>
    <x:xf numFmtId="203" fontId="4" fillId="0" borderId="25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left" vertical="center"/>
    </x:xf>
    <x:xf numFmtId="0" fontId="9" fillId="3" borderId="0" xfId="0" applyNumberFormat="1" applyFont="1" applyFill="1" applyBorder="1" applyAlignment="1">
      <x:alignment horizontal="left" vertical="center" wrapText="1"/>
    </x:xf>
    <x:xf numFmtId="0" fontId="8" fillId="4" borderId="26" xfId="0" applyNumberFormat="1" applyFont="1" applyFill="1" applyBorder="1" applyAlignment="1">
      <x:alignment horizontal="center" vertical="center" wrapText="1"/>
    </x:xf>
    <x:xf numFmtId="0" fontId="10" fillId="6" borderId="14" xfId="0" applyNumberFormat="1" applyFont="1" applyFill="1" applyBorder="1" applyAlignment="1">
      <x:alignment vertical="center" wrapText="1"/>
    </x:xf>
    <x:xf numFmtId="0" fontId="10" fillId="6" borderId="32" xfId="0" applyNumberFormat="1" applyFont="1" applyFill="1" applyBorder="1" applyAlignment="1">
      <x:alignment vertical="center" wrapText="1"/>
    </x:xf>
    <x:xf numFmtId="0" fontId="10" fillId="7" borderId="32" xfId="0" applyNumberFormat="1" applyFont="1" applyFill="1" applyBorder="1" applyAlignment="1">
      <x:alignment vertical="center" wrapText="1"/>
    </x:xf>
    <x:xf numFmtId="0" fontId="10" fillId="7" borderId="17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8" fillId="2" borderId="1" xfId="0" applyNumberFormat="1" applyFont="1" applyFill="1" applyBorder="1" applyAlignment="1">
      <x:alignment horizontal="left" vertical="center"/>
    </x:xf>
    <x:xf numFmtId="0" fontId="9" fillId="3" borderId="1" xfId="0" applyNumberFormat="1" applyFont="1" applyFill="1" applyBorder="1" applyAlignment="1">
      <x:alignment horizontal="left" vertical="center" wrapText="1"/>
    </x:xf>
    <x:xf numFmtId="0" fontId="8" fillId="4" borderId="29" xfId="0" applyNumberFormat="1" applyFont="1" applyFill="1" applyBorder="1" applyAlignment="1">
      <x:alignment horizontal="center" vertical="center" wrapText="1"/>
    </x:xf>
    <x:xf numFmtId="0" fontId="10" fillId="6" borderId="20" xfId="0" applyNumberFormat="1" applyFont="1" applyFill="1" applyBorder="1" applyAlignment="1">
      <x:alignment vertical="center" wrapText="1"/>
    </x:xf>
    <x:xf numFmtId="0" fontId="10" fillId="6" borderId="34" xfId="0" applyNumberFormat="1" applyFont="1" applyFill="1" applyBorder="1" applyAlignment="1">
      <x:alignment vertical="center" wrapText="1"/>
    </x:xf>
    <x:xf numFmtId="0" fontId="10" fillId="7" borderId="34" xfId="0" applyNumberFormat="1" applyFont="1" applyFill="1" applyBorder="1" applyAlignment="1">
      <x:alignment vertical="center" wrapText="1"/>
    </x:xf>
    <x:xf numFmtId="0" fontId="10" fillId="7" borderId="23" xfId="0" applyNumberFormat="1" applyFont="1" applyFill="1" applyBorder="1" applyAlignment="1">
      <x:alignment vertical="center" wrapText="1"/>
    </x:xf>
    <x:xf numFmtId="0" fontId="10" fillId="0" borderId="1" xfId="0" applyNumberFormat="1" applyFont="1" applyFill="1" applyBorder="1"/>
    <x:xf numFmtId="0" fontId="10" fillId="7" borderId="14" xfId="0" applyNumberFormat="1" applyFont="1" applyFill="1" applyBorder="1" applyAlignment="1">
      <x:alignment vertical="center" wrapText="1"/>
    </x:xf>
    <x:xf numFmtId="0" fontId="10" fillId="8" borderId="32" xfId="0" applyNumberFormat="1" applyFont="1" applyFill="1" applyBorder="1" applyAlignment="1">
      <x:alignment vertical="center" wrapText="1"/>
    </x:xf>
    <x:xf numFmtId="0" fontId="10" fillId="7" borderId="20" xfId="0" applyNumberFormat="1" applyFont="1" applyFill="1" applyBorder="1" applyAlignment="1">
      <x:alignment vertical="center" wrapText="1"/>
    </x:xf>
    <x:xf numFmtId="0" fontId="10" fillId="8" borderId="34" xfId="0" applyNumberFormat="1" applyFont="1" applyFill="1" applyBorder="1" applyAlignment="1">
      <x:alignment vertical="center" wrapText="1"/>
    </x:xf>
    <x:xf numFmtId="0" fontId="10" fillId="0" borderId="14" xfId="0" applyNumberFormat="1" applyFont="1" applyFill="1" applyBorder="1" applyAlignment="1">
      <x:alignment vertical="center" wrapText="1"/>
    </x:xf>
    <x:xf numFmtId="0" fontId="10" fillId="0" borderId="32" xfId="0" applyNumberFormat="1" applyFont="1" applyFill="1" applyBorder="1" applyAlignment="1">
      <x:alignment vertical="center" wrapText="1"/>
    </x:xf>
    <x:xf numFmtId="0" fontId="10" fillId="0" borderId="17" xfId="0" applyNumberFormat="1" applyFont="1" applyFill="1" applyBorder="1" applyAlignment="1">
      <x:alignment vertical="center" wrapText="1"/>
    </x:xf>
    <x:xf numFmtId="0" fontId="10" fillId="0" borderId="20" xfId="0" applyNumberFormat="1" applyFont="1" applyFill="1" applyBorder="1" applyAlignment="1">
      <x:alignment vertical="center" wrapText="1"/>
    </x:xf>
    <x:xf numFmtId="0" fontId="10" fillId="0" borderId="34" xfId="0" applyNumberFormat="1" applyFont="1" applyFill="1" applyBorder="1" applyAlignment="1">
      <x:alignment vertical="center" wrapText="1"/>
    </x:xf>
    <x:xf numFmtId="0" fontId="10" fillId="0" borderId="23" xfId="0" applyNumberFormat="1" applyFont="1" applyFill="1" applyBorder="1" applyAlignment="1">
      <x:alignment vertical="center" wrapText="1"/>
    </x:xf>
    <x:xf numFmtId="0" fontId="8" fillId="3" borderId="14" xfId="0" applyNumberFormat="1" applyFont="1" applyFill="1" applyBorder="1" applyAlignment="1">
      <x:alignment vertical="center" wrapText="1"/>
    </x:xf>
    <x:xf numFmtId="0" fontId="8" fillId="8" borderId="32" xfId="0" applyNumberFormat="1" applyFont="1" applyFill="1" applyBorder="1" applyAlignment="1">
      <x:alignment vertical="center" wrapText="1"/>
    </x:xf>
    <x:xf numFmtId="0" fontId="8" fillId="8" borderId="17" xfId="0" applyNumberFormat="1" applyFont="1" applyFill="1" applyBorder="1" applyAlignment="1">
      <x:alignment vertical="center" wrapText="1"/>
    </x:xf>
    <x:xf numFmtId="0" fontId="8" fillId="3" borderId="20" xfId="0" applyNumberFormat="1" applyFont="1" applyFill="1" applyBorder="1" applyAlignment="1">
      <x:alignment vertical="center" wrapText="1"/>
    </x:xf>
    <x:xf numFmtId="0" fontId="8" fillId="8" borderId="34" xfId="0" applyNumberFormat="1" applyFont="1" applyFill="1" applyBorder="1" applyAlignment="1">
      <x:alignment vertical="center" wrapText="1"/>
    </x:xf>
    <x:xf numFmtId="0" fontId="8" fillId="8" borderId="23" xfId="0" applyNumberFormat="1" applyFont="1" applyFill="1" applyBorder="1" applyAlignment="1">
      <x:alignment vertical="center" wrapText="1"/>
    </x:xf>
    <x:xf numFmtId="209" fontId="10" fillId="7" borderId="14" xfId="0" applyNumberFormat="1" applyFont="1" applyFill="1" applyBorder="1" applyAlignment="1">
      <x:alignment vertical="center" wrapText="1"/>
    </x:xf>
    <x:xf numFmtId="209" fontId="10" fillId="7" borderId="32" xfId="0" applyNumberFormat="1" applyFont="1" applyFill="1" applyBorder="1" applyAlignment="1">
      <x:alignment vertical="center" wrapText="1"/>
    </x:xf>
    <x:xf numFmtId="209" fontId="10" fillId="7" borderId="17" xfId="0" applyNumberFormat="1" applyFont="1" applyFill="1" applyBorder="1" applyAlignment="1">
      <x:alignment vertical="center" wrapText="1"/>
    </x:xf>
    <x:xf numFmtId="209" fontId="10" fillId="7" borderId="20" xfId="0" applyNumberFormat="1" applyFont="1" applyFill="1" applyBorder="1" applyAlignment="1">
      <x:alignment vertical="center" wrapText="1"/>
    </x:xf>
    <x:xf numFmtId="209" fontId="10" fillId="7" borderId="34" xfId="0" applyNumberFormat="1" applyFont="1" applyFill="1" applyBorder="1" applyAlignment="1">
      <x:alignment vertical="center" wrapText="1"/>
    </x:xf>
    <x:xf numFmtId="209" fontId="10" fillId="7" borderId="23" xfId="0" applyNumberFormat="1" applyFont="1" applyFill="1" applyBorder="1" applyAlignment="1">
      <x:alignment vertical="center" wrapText="1"/>
    </x:xf>
    <x:xf numFmtId="0" fontId="8" fillId="3" borderId="32" xfId="0" applyNumberFormat="1" applyFont="1" applyFill="1" applyBorder="1" applyAlignment="1">
      <x:alignment vertical="center" wrapText="1"/>
    </x:xf>
    <x:xf numFmtId="0" fontId="8" fillId="3" borderId="17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horizontal="center"/>
    </x:xf>
    <x:xf numFmtId="0" fontId="8" fillId="3" borderId="34" xfId="0" applyNumberFormat="1" applyFont="1" applyFill="1" applyBorder="1" applyAlignment="1">
      <x:alignment vertical="center" wrapText="1"/>
    </x:xf>
    <x:xf numFmtId="0" fontId="8" fillId="3" borderId="23" xfId="0" applyNumberFormat="1" applyFont="1" applyFill="1" applyBorder="1" applyAlignment="1">
      <x:alignment vertical="center" wrapText="1"/>
    </x:xf>
    <x:xf numFmtId="0" fontId="8" fillId="4" borderId="1" xfId="0" applyNumberFormat="1" applyFont="1" applyFill="1" applyBorder="1" applyAlignment="1">
      <x:alignment horizontal="center"/>
    </x:xf>
    <x:xf numFmtId="0" fontId="11" fillId="2" borderId="0" xfId="0" applyNumberFormat="1" applyFont="1" applyFill="1" applyBorder="1" applyAlignment="1">
      <x:alignment horizontal="left" vertical="center"/>
    </x:xf>
    <x:xf numFmtId="0" fontId="11" fillId="2" borderId="1" xfId="0" applyNumberFormat="1" applyFont="1" applyFill="1" applyBorder="1" applyAlignment="1">
      <x:alignment horizontal="left" vertical="center"/>
    </x:xf>
    <x:xf numFmtId="0" fontId="12" fillId="3" borderId="0" xfId="0" applyNumberFormat="1" applyFont="1" applyFill="1" applyBorder="1" applyAlignment="1">
      <x:alignment horizontal="left" vertical="center" wrapText="1"/>
    </x:xf>
    <x:xf numFmtId="0" fontId="12" fillId="3" borderId="1" xfId="0" applyNumberFormat="1" applyFont="1" applyFill="1" applyBorder="1" applyAlignment="1">
      <x:alignment horizontal="left" vertical="center" wrapText="1"/>
    </x:xf>
    <x:xf numFmtId="0" fontId="13" fillId="3" borderId="14" xfId="0" applyNumberFormat="1" applyFont="1" applyFill="1" applyBorder="1" applyAlignment="1">
      <x:alignment vertical="center" wrapText="1"/>
    </x:xf>
    <x:xf numFmtId="0" fontId="13" fillId="3" borderId="32" xfId="0" applyNumberFormat="1" applyFont="1" applyFill="1" applyBorder="1" applyAlignment="1">
      <x:alignment vertical="center" wrapText="1"/>
    </x:xf>
    <x:xf numFmtId="0" fontId="13" fillId="3" borderId="17" xfId="0" applyNumberFormat="1" applyFont="1" applyFill="1" applyBorder="1" applyAlignment="1">
      <x:alignment vertical="center" wrapText="1"/>
    </x:xf>
    <x:xf numFmtId="0" fontId="13" fillId="3" borderId="20" xfId="0" applyNumberFormat="1" applyFont="1" applyFill="1" applyBorder="1" applyAlignment="1">
      <x:alignment vertical="center" wrapText="1"/>
    </x:xf>
    <x:xf numFmtId="0" fontId="13" fillId="3" borderId="34" xfId="0" applyNumberFormat="1" applyFont="1" applyFill="1" applyBorder="1" applyAlignment="1">
      <x:alignment vertical="center" wrapText="1"/>
    </x:xf>
    <x:xf numFmtId="0" fontId="13" fillId="3" borderId="23" xfId="0" applyNumberFormat="1" applyFont="1" applyFill="1" applyBorder="1" applyAlignment="1">
      <x:alignment vertical="center" wrapText="1"/>
    </x:xf>
    <x:xf numFmtId="0" fontId="13" fillId="4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8b0fb9296b48f7" /><Relationship Type="http://schemas.openxmlformats.org/officeDocument/2006/relationships/theme" Target="/xl/theme/theme1.xml" Id="Re381466ae35e4e0b" /><Relationship Type="http://schemas.openxmlformats.org/officeDocument/2006/relationships/sharedStrings" Target="/xl/sharedStrings.xml" Id="R0ae688485ad447bc" /><Relationship Type="http://schemas.openxmlformats.org/officeDocument/2006/relationships/worksheet" Target="/xl/worksheets/sheet1.xml" Id="R7535ef8c07994ff2" /><Relationship Type="http://schemas.openxmlformats.org/officeDocument/2006/relationships/worksheet" Target="/xl/worksheets/sheet2.xml" Id="R3e43c07874d64ecc" /><Relationship Type="http://schemas.openxmlformats.org/officeDocument/2006/relationships/worksheet" Target="/xl/worksheets/sheet3.xml" Id="R153bcb77143549dc" /><Relationship Type="http://schemas.openxmlformats.org/officeDocument/2006/relationships/worksheet" Target="/xl/worksheets/sheet4.xml" Id="R95a4e42d5cd544cb" /><Relationship Type="http://schemas.openxmlformats.org/officeDocument/2006/relationships/worksheet" Target="/xl/worksheets/sheet5.xml" Id="Rae9addc2afbd4d0e" /><Relationship Type="http://schemas.openxmlformats.org/officeDocument/2006/relationships/worksheet" Target="/xl/worksheets/sheet6.xml" Id="Rf86d3670eb594882" /><Relationship Type="http://schemas.openxmlformats.org/officeDocument/2006/relationships/worksheet" Target="/xl/worksheets/sheet7.xml" Id="R6b3753952fe142c5" /><Relationship Type="http://schemas.openxmlformats.org/officeDocument/2006/relationships/worksheet" Target="/xl/worksheets/sheet8.xml" Id="R469096d670e245dd" /><Relationship Type="http://schemas.openxmlformats.org/officeDocument/2006/relationships/worksheet" Target="/xl/worksheets/sheet9.xml" Id="R964df881e0c045a4" /><Relationship Type="http://schemas.openxmlformats.org/officeDocument/2006/relationships/worksheet" Target="/xl/worksheets/sheet10.xml" Id="Rd0972d279d8b40a6" /><Relationship Type="http://schemas.openxmlformats.org/officeDocument/2006/relationships/worksheet" Target="/xl/worksheets/sheet11.xml" Id="R5ec14ecfc89b4d88" /><Relationship Type="http://schemas.openxmlformats.org/officeDocument/2006/relationships/worksheet" Target="/xl/worksheets/sheet12.xml" Id="R6efdbbef733e43b4" /><Relationship Type="http://schemas.openxmlformats.org/officeDocument/2006/relationships/worksheet" Target="/xl/worksheets/sheet13.xml" Id="R3868682a685d4860" /><Relationship Type="http://schemas.openxmlformats.org/officeDocument/2006/relationships/worksheet" Target="/xl/worksheets/sheet14.xml" Id="Re455e43be7c3452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dbeae43961340f1" /><Relationship Type="http://schemas.openxmlformats.org/officeDocument/2006/relationships/chart" Target="/xl/drawings/charts/chart2.xml" Id="Re451c669319c4ce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Custo por canal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Custo / min conectado</c:v>
          </c:tx>
          <c:cat>
            <c:strRef>
              <c:f>'Dashboard'!$A$14:$A$18</c:f>
              <c:strCache>
                <c:ptCount val="0"/>
              </c:strCache>
            </c:strRef>
          </c:cat>
          <c:val>
            <c:numRef>
              <c:f>'Dashboard'!$B$14:$B$18</c:f>
              <c:numCache>
                <c:formatCode>$0.0000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 sourceLinked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Gross margin por plano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Gross margin</c:v>
          </c:tx>
          <c:cat>
            <c:strRef>
              <c:f>'Dashboard'!$D$14:$D$17</c:f>
              <c:strCache>
                <c:ptCount val="0"/>
              </c:strCache>
            </c:strRef>
          </c:cat>
          <c:val>
            <c:numRef>
              <c:f>'Dashboard'!$E$14:$E$17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dbeae43961340f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451c669319c4ce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viderCatalogTable" displayName="ProviderCatalogTable" ref="A3:I22" headerRowCount="1">
  <x:tableColumns count="9">
    <x:tableColumn id="1" name="Categoria"/>
    <x:tableColumn id="2" name="Provider / Componente"/>
    <x:tableColumn id="3" name="Métrica"/>
    <x:tableColumn id="4" name="Unidade"/>
    <x:tableColumn id="5" name="Preço USD"/>
    <x:tableColumn id="6" name="Base de cobrança"/>
    <x:tableColumn id="7" name="Data-base"/>
    <x:tableColumn id="8" name="Fonte"/>
    <x:tableColumn id="9" name="Status / Observação"/>
  </x:tableColumns>
  <x:tableStyleInfo name="TableStyleMedium2" showRowStripes="1"/>
</x:table>
</file>

<file path=xl/tables/table2.xml><?xml version="1.0" encoding="utf-8"?>
<x:table xmlns:x="http://schemas.openxmlformats.org/spreadsheetml/2006/main" id="2" name="ChannelAssumptionsTable" displayName="ChannelAssumptionsTable" ref="A3:H8" headerRowCount="1">
  <x:tableColumns count="8">
    <x:tableColumn id="1" name="Canal"/>
    <x:tableColumn id="2" name="Min conectados / call"/>
    <x:tableColumn id="3" name="Speech ratio"/>
    <x:tableColumn id="4" name="Avatar ratio"/>
    <x:tableColumn id="5" name="Meeting bot ratio"/>
    <x:tableColumn id="6" name="Recording ratio"/>
    <x:tableColumn id="7" name="Voice mode"/>
    <x:tableColumn id="8" name="Observação"/>
  </x:tableColumns>
  <x:tableStyleInfo name="TableStyleMedium2" showRowStripes="1"/>
</x:table>
</file>

<file path=xl/tables/table3.xml><?xml version="1.0" encoding="utf-8"?>
<x:table xmlns:x="http://schemas.openxmlformats.org/spreadsheetml/2006/main" id="3" name="CapacityTable" displayName="CapacityTable" ref="A3:I6" headerRowCount="1">
  <x:tableColumns count="9">
    <x:tableColumn id="1" name="Cenário"/>
    <x:tableColumn id="2" name="Sessões concorrentes"/>
    <x:tableColumn id="3" name="Utilização produtiva"/>
    <x:tableColumn id="4" name="Horas / mês"/>
    <x:tableColumn id="5" name="Min conectados / mês"/>
    <x:tableColumn id="6" name="Warm pool / mês"/>
    <x:tableColumn id="7" name="Infra fixa / mês"/>
    <x:tableColumn id="8" name="Custo capacidade / mês"/>
    <x:tableColumn id="9" name="Custo capacidade / min"/>
  </x:tableColumns>
  <x:tableStyleInfo name="TableStyleMedium2" showRowStripes="1"/>
</x:table>
</file>

<file path=xl/tables/table4.xml><?xml version="1.0" encoding="utf-8"?>
<x:table xmlns:x="http://schemas.openxmlformats.org/spreadsheetml/2006/main" id="4" name="PlansMarginTable" displayName="PlansMarginTable" ref="A3:M7" headerRowCount="1">
  <x:tableColumns count="13">
    <x:tableColumn id="1" name="Plano"/>
    <x:tableColumn id="2" name="Preço mensal USD"/>
    <x:tableColumn id="3" name="Voz modular min"/>
    <x:tableColumn id="4" name="Vídeo nativo min"/>
    <x:tableColumn id="5" name="Meeting externo min"/>
    <x:tableColumn id="6" name="Telefonia min"/>
    <x:tableColumn id="7" name="Usage COGS"/>
    <x:tableColumn id="8" name="Suporte + overhead"/>
    <x:tableColumn id="9" name="Payment fees"/>
    <x:tableColumn id="10" name="Total COGS"/>
    <x:tableColumn id="11" name="Gross profit"/>
    <x:tableColumn id="12" name="Gross margin"/>
    <x:tableColumn id="13" name="Overage sugerido / min"/>
  </x:tableColumns>
  <x:tableStyleInfo name="TableStyleMedium2" showRowStripes="1"/>
</x:table>
</file>

<file path=xl/tables/table5.xml><?xml version="1.0" encoding="utf-8"?>
<x:table xmlns:x="http://schemas.openxmlformats.org/spreadsheetml/2006/main" id="5" name="ActualVsModelTable" displayName="ActualVsModelTable" ref="A3:K23" headerRowCount="1">
  <x:tableColumns count="11">
    <x:tableColumn id="1" name="Mês"/>
    <x:tableColumn id="2" name="Canal"/>
    <x:tableColumn id="3" name="Sessões"/>
    <x:tableColumn id="4" name="Min conectados"/>
    <x:tableColumn id="5" name="Min falados"/>
    <x:tableColumn id="6" name="Model cost / min"/>
    <x:tableColumn id="7" name="Modeled cost"/>
    <x:tableColumn id="8" name="Actual provider cost"/>
    <x:tableColumn id="9" name="Variance USD"/>
    <x:tableColumn id="10" name="Variance %"/>
    <x:tableColumn id="11" name="Not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9951d553ef4a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8921d203925d42f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3.xml" Id="R103bdbcc722e498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4.xml" Id="R5aeae7328c4b404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5.xml" Id="R5bad3d34b7d0490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.xml" Id="Rdfd5e16e6af44dd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5" t="str">
        <x:v>Axtro Digital Human OS V2</x:v>
      </x:c>
      <x:c r="B1" s="5"/>
      <x:c r="C1" s="5"/>
      <x:c r="D1" s="5"/>
      <x:c r="E1" s="5"/>
      <x:c r="F1" s="5"/>
      <x:c r="G1" s="5"/>
      <x:c r="H1" s="5"/>
    </x:row>
    <x:row r="2" ht="26" customHeight="1">
      <x:c r="A2" s="14" t="str">
        <x:v>Modelo de unit economics por canal. Valores de provider são inputs datados e devem ser confirmados antes de precificação comercial.</x:v>
      </x:c>
      <x:c r="B2" s="14"/>
      <x:c r="C2" s="14"/>
      <x:c r="D2" s="14"/>
      <x:c r="E2" s="14"/>
      <x:c r="F2" s="14"/>
      <x:c r="G2" s="14"/>
      <x:c r="H2" s="14"/>
    </x:row>
    <x:row r="4" ht="28" customHeight="1">
      <x:c r="A4" s="31" t="str">
        <x:v>Como usar</x:v>
      </x:c>
      <x:c r="B4" s="55" t="str">
        <x:v>Edite somente as células amarelas ou verdes de input. As demais células usam fórmulas.</x:v>
      </x:c>
    </x:row>
    <x:row r="5" ht="28" customHeight="1">
      <x:c r="A5" s="32" t="str">
        <x:v>Moeda-base</x:v>
      </x:c>
      <x:c r="B5" s="56" t="str">
        <x:v>USD. A conversão para BRL usa a premissa editável em Global_Assumptions.</x:v>
      </x:c>
    </x:row>
    <x:row r="6" ht="28" customHeight="1">
      <x:c r="A6" s="32" t="str">
        <x:v>Canais</x:v>
      </x:c>
      <x:c r="B6" s="56" t="str">
        <x:v>Voz modular, speech-to-speech, vídeo nativo, reunião externa e telefonia.</x:v>
      </x:c>
    </x:row>
    <x:row r="7" ht="28" customHeight="1">
      <x:c r="A7" s="32" t="str">
        <x:v>Custo de avatar</x:v>
      </x:c>
      <x:c r="B7" s="56" t="str">
        <x:v>Modelado por minuto conectado, não apenas por minuto falado.</x:v>
      </x:c>
    </x:row>
    <x:row r="8" ht="28" customHeight="1">
      <x:c r="A8" s="32" t="str">
        <x:v>Reunião externa</x:v>
      </x:c>
      <x:c r="B8" s="56" t="str">
        <x:v>Inclui compute do meeting bot e custo de avatar. Pode variar por tipo de máquina.</x:v>
      </x:c>
    </x:row>
    <x:row r="9" ht="28" customHeight="1">
      <x:c r="A9" s="32" t="str">
        <x:v>Capacidade</x:v>
      </x:c>
      <x:c r="B9" s="56" t="str">
        <x:v>Modela concorrência, utilização produtiva, warm pool e overhead.</x:v>
      </x:c>
    </x:row>
    <x:row r="10" ht="28" customHeight="1">
      <x:c r="A10" s="32" t="str">
        <x:v>Margem</x:v>
      </x:c>
      <x:c r="B10" s="56" t="str">
        <x:v>Planos e franquias são hipóteses iniciais, não uma tabela de preços aprovada.</x:v>
      </x:c>
    </x:row>
    <x:row r="11" ht="28" customHeight="1">
      <x:c r="A11" s="32" t="str">
        <x:v>Atualização</x:v>
      </x:c>
      <x:c r="B11" s="56" t="str">
        <x:v>Revise Provider_Catalog após qualquer mudança de preço ou contrato.</x:v>
      </x:c>
    </x:row>
    <x:row r="12" ht="28" customHeight="1">
      <x:c r="A12" s="33" t="str">
        <x:v>Validação</x:v>
      </x:c>
      <x:c r="B12" s="57" t="str">
        <x:v>Compare invoices reais em Actual_vs_Model e ajuste premissas.</x:v>
      </x:c>
    </x:row>
    <x:row r="13" ht="36" customHeight="1">
      <x:c r="A13" s="386" t="str">
        <x:v>Nota de preço</x:v>
      </x:c>
      <x:c r="B13" s="386" t="str">
        <x:v>OpenAI Realtime usa proxy por minuto do calculador LiveKit; a cobrança direta é tokenizada e deve ser reconciliada com telemetria real.</x:v>
      </x:c>
      <x:c r="C13" s="386"/>
      <x:c r="D13" s="386"/>
      <x:c r="E13" s="386"/>
      <x:c r="F13" s="386"/>
    </x:row>
    <x:row r="14">
      <x:c r="A14" s="68" t="str">
        <x:v>Aviso</x:v>
      </x:c>
      <x:c r="B14" s="68" t="str"/>
      <x:c r="C14" s="68" t="str"/>
      <x:c r="D14" s="68" t="str"/>
      <x:c r="E14" s="68" t="str"/>
      <x:c r="F14" s="68" t="str"/>
      <x:c r="G14" s="68" t="str"/>
      <x:c r="H14" s="68" t="str"/>
    </x:row>
    <x:row r="15">
      <x:c r="A15" s="72" t="str">
        <x:v>Este workbook não substitui proposta comercial, contrato de provider ou parecer contábil.</x:v>
      </x:c>
      <x:c r="B15" s="72" t="str"/>
      <x:c r="C15" s="72" t="str"/>
      <x:c r="D15" s="72" t="str"/>
      <x:c r="E15" s="72" t="str"/>
      <x:c r="F15" s="72" t="str"/>
      <x:c r="G15" s="72" t="str"/>
      <x:c r="H15" s="72" t="str"/>
    </x:row>
    <x:row r="16">
      <x:c r="A16" s="88" t="str">
        <x:v>Data-base</x:v>
      </x:c>
      <x:c r="B16" s="89" t="str">
        <x:v>2026-07-14</x:v>
      </x:c>
      <x:c r="C16" s="89" t="str">
        <x:v>Versão</x:v>
      </x:c>
      <x:c r="D16" s="89" t="str">
        <x:v>2.0</x:v>
      </x:c>
      <x:c r="E16" s="89" t="str">
        <x:v>Status</x:v>
      </x:c>
      <x:c r="F16" s="89" t="str">
        <x:v>Modelo editável</x:v>
      </x:c>
      <x:c r="G16" s="89" t="str"/>
      <x:c r="H16" s="90" t="str"/>
    </x:row>
    <x:row r="17">
      <x:c r="A17" s="91" t="str">
        <x:v>Arquivo relacionado</x:v>
      </x:c>
      <x:c r="B17" s="92" t="str">
        <x:v>docs/operations/COST_AND_CAPACITY_MODEL.md</x:v>
      </x:c>
      <x:c r="C17" s="92" t="str"/>
      <x:c r="D17" s="92" t="str"/>
      <x:c r="E17" s="92" t="str"/>
      <x:c r="F17" s="92" t="str"/>
      <x:c r="G17" s="92" t="str"/>
      <x:c r="H17" s="93" t="str"/>
    </x:row>
  </x:sheetData>
  <x:mergeCells>
    <x:mergeCell ref="A1:H1"/>
    <x:mergeCell ref="A2:H2"/>
    <x:mergeCell ref="A14:H14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24" hidden="0" customWidth="1"/>
    <x:col min="4" max="4" width="21" hidden="0" customWidth="1"/>
    <x:col min="5" max="5" width="14" hidden="0" customWidth="1"/>
    <x:col min="6" max="6" width="32" hidden="0" customWidth="1"/>
    <x:col min="7" max="7" width="14" hidden="0" customWidth="1"/>
    <x:col min="8" max="8" width="38" hidden="0" customWidth="1"/>
    <x:col min="9" max="9" width="24" hidden="0" customWidth="1"/>
  </x:cols>
  <x:sheetData>
    <x:row r="1" ht="34" customHeight="1">
      <x:c r="A1" s="374" t="str">
        <x:v>Provider Catalog</x:v>
      </x:c>
      <x:c r="B1" s="5"/>
      <x:c r="C1" s="5"/>
      <x:c r="D1" s="5"/>
      <x:c r="E1" s="5"/>
      <x:c r="F1" s="5"/>
      <x:c r="G1" s="5"/>
      <x:c r="H1" s="5"/>
      <x:c r="I1" s="5"/>
    </x:row>
    <x:row r="2" ht="26" customHeight="1">
      <x:c r="A2" s="376" t="str">
        <x:v>Inputs de preço e custo. Linhas verdes vêm de páginas públicas; amarelas são premissas internas a validar.</x:v>
      </x:c>
      <x:c r="B2" s="14"/>
      <x:c r="C2" s="14"/>
      <x:c r="D2" s="14"/>
      <x:c r="E2" s="14"/>
      <x:c r="F2" s="14"/>
      <x:c r="G2" s="14"/>
      <x:c r="H2" s="14"/>
      <x:c r="I2" s="14"/>
    </x:row>
    <x:row r="3" ht="28" customHeight="1">
      <x:c r="A3" s="332" t="str">
        <x:v>Categoria</x:v>
      </x:c>
      <x:c r="B3" s="122" t="str">
        <x:v>Provider / Componente</x:v>
      </x:c>
      <x:c r="C3" s="122" t="str">
        <x:v>Métrica</x:v>
      </x:c>
      <x:c r="D3" s="122" t="str">
        <x:v>Unidade</x:v>
      </x:c>
      <x:c r="E3" s="122" t="str">
        <x:v>Preço USD</x:v>
      </x:c>
      <x:c r="F3" s="122" t="str">
        <x:v>Base de cobrança</x:v>
      </x:c>
      <x:c r="G3" s="122" t="str">
        <x:v>Data-base</x:v>
      </x:c>
      <x:c r="H3" s="122" t="str">
        <x:v>Fonte</x:v>
      </x:c>
      <x:c r="I3" s="123" t="str">
        <x:v>Status / Observação</x:v>
      </x:c>
    </x:row>
    <x:row r="4">
      <x:c r="A4" s="333" t="str">
        <x:v>Realtime</x:v>
      </x:c>
      <x:c r="B4" s="159" t="str">
        <x:v>OpenAI GPT Realtime</x:v>
      </x:c>
      <x:c r="C4" s="159" t="str">
        <x:v>Speech-to-speech baseline proxy</x:v>
      </x:c>
      <x:c r="D4" s="159" t="str">
        <x:v>por minuto conectado</x:v>
      </x:c>
      <x:c r="E4" s="160" t="n">
        <x:v>0.0676</x:v>
      </x:c>
      <x:c r="F4" s="159" t="str">
        <x:v>Proxy publicado no calculador LiveKit; custo direto varia por tokens de áudio</x:v>
      </x:c>
      <x:c r="G4" s="159" t="str">
        <x:v>2026-07-14</x:v>
      </x:c>
      <x:c r="H4" s="159" t="str">
        <x:v>https://livekit.io/pricing</x:v>
      </x:c>
      <x:c r="I4" s="161" t="str">
        <x:v>Proxy público, reconciliar com invoices reais</x:v>
      </x:c>
    </x:row>
    <x:row r="5">
      <x:c r="A5" s="334" t="str">
        <x:v>STT</x:v>
      </x:c>
      <x:c r="B5" s="163" t="str">
        <x:v>Deepgram Flux Multilingual</x:v>
      </x:c>
      <x:c r="C5" s="163" t="str">
        <x:v>Transcrição e turn detection</x:v>
      </x:c>
      <x:c r="D5" s="163" t="str">
        <x:v>por minuto de áudio</x:v>
      </x:c>
      <x:c r="E5" s="164" t="n">
        <x:v>0.0078</x:v>
      </x:c>
      <x:c r="F5" s="163" t="str">
        <x:v>Preço público pay-as-you-go</x:v>
      </x:c>
      <x:c r="G5" s="163" t="str">
        <x:v>2026-07-14</x:v>
      </x:c>
      <x:c r="H5" s="163" t="str">
        <x:v>https://deepgram.com/pricing</x:v>
      </x:c>
      <x:c r="I5" s="165" t="str">
        <x:v>Provider-sourced, benchmark obrigatório em PT-BR</x:v>
      </x:c>
    </x:row>
    <x:row r="6">
      <x:c r="A6" s="334" t="str">
        <x:v>TTS</x:v>
      </x:c>
      <x:c r="B6" s="163" t="str">
        <x:v>ElevenLabs API</x:v>
      </x:c>
      <x:c r="C6" s="163" t="str">
        <x:v>Síntese de voz</x:v>
      </x:c>
      <x:c r="D6" s="163" t="str">
        <x:v>por 1.000 caracteres</x:v>
      </x:c>
      <x:c r="E6" s="164" t="n">
        <x:v>0.05</x:v>
      </x:c>
      <x:c r="F6" s="163" t="str">
        <x:v>Preço público por caracteres</x:v>
      </x:c>
      <x:c r="G6" s="163" t="str">
        <x:v>2026-07-14</x:v>
      </x:c>
      <x:c r="H6" s="163" t="str">
        <x:v>https://elevenlabs.io/pricing/api</x:v>
      </x:c>
      <x:c r="I6" s="165" t="str">
        <x:v>Provider-sourced</x:v>
      </x:c>
    </x:row>
    <x:row r="7">
      <x:c r="A7" s="334" t="str">
        <x:v>LLM</x:v>
      </x:c>
      <x:c r="B7" s="163" t="str">
        <x:v>Fast text lane</x:v>
      </x:c>
      <x:c r="C7" s="163" t="str">
        <x:v>Resposta textual rápida</x:v>
      </x:c>
      <x:c r="D7" s="163" t="str">
        <x:v>por minuto falado</x:v>
      </x:c>
      <x:c r="E7" s="164" t="n">
        <x:v>0.006</x:v>
      </x:c>
      <x:c r="F7" s="163" t="str">
        <x:v>Premissa agregada de tokens</x:v>
      </x:c>
      <x:c r="G7" s="163" t="str">
        <x:v>2026-07-14</x:v>
      </x:c>
      <x:c r="H7" s="163" t="str">
        <x:v>https://openai.com/api/pricing/</x:v>
      </x:c>
      <x:c r="I7" s="165" t="str">
        <x:v>Premissa interna</x:v>
      </x:c>
    </x:row>
    <x:row r="8">
      <x:c r="A8" s="334" t="str">
        <x:v>Realtime infra</x:v>
      </x:c>
      <x:c r="B8" s="163" t="str">
        <x:v>LiveKit Agent Session</x:v>
      </x:c>
      <x:c r="C8" s="163" t="str">
        <x:v>Sessão de agente</x:v>
      </x:c>
      <x:c r="D8" s="163" t="str">
        <x:v>por minuto conectado</x:v>
      </x:c>
      <x:c r="E8" s="164" t="n">
        <x:v>0.01</x:v>
      </x:c>
      <x:c r="F8" s="163" t="str">
        <x:v>Preço público de agent session</x:v>
      </x:c>
      <x:c r="G8" s="163" t="str">
        <x:v>2026-07-14</x:v>
      </x:c>
      <x:c r="H8" s="163" t="str">
        <x:v>https://livekit.io/pricing</x:v>
      </x:c>
      <x:c r="I8" s="165" t="str">
        <x:v>Provider-sourced</x:v>
      </x:c>
    </x:row>
    <x:row r="9">
      <x:c r="A9" s="334" t="str">
        <x:v>Media infra</x:v>
      </x:c>
      <x:c r="B9" s="163" t="str">
        <x:v>LiveKit transport</x:v>
      </x:c>
      <x:c r="C9" s="163" t="str">
        <x:v>Mídia e tráfego</x:v>
      </x:c>
      <x:c r="D9" s="163" t="str">
        <x:v>por minuto conectado</x:v>
      </x:c>
      <x:c r="E9" s="164" t="n">
        <x:v>0.0015</x:v>
      </x:c>
      <x:c r="F9" s="163" t="str">
        <x:v>Premissa inicial para mídia e transporte</x:v>
      </x:c>
      <x:c r="G9" s="163" t="str">
        <x:v>2026-07-14</x:v>
      </x:c>
      <x:c r="H9" s="163" t="str">
        <x:v>https://livekit.io/pricing</x:v>
      </x:c>
      <x:c r="I9" s="165" t="str">
        <x:v>Premissa interna</x:v>
      </x:c>
    </x:row>
    <x:row r="10">
      <x:c r="A10" s="334" t="str">
        <x:v>Avatar</x:v>
      </x:c>
      <x:c r="B10" s="163" t="str">
        <x:v>Tavus Growth effective</x:v>
      </x:c>
      <x:c r="C10" s="163" t="str">
        <x:v>Avatar realtime</x:v>
      </x:c>
      <x:c r="D10" s="163" t="str">
        <x:v>por minuto conectado</x:v>
      </x:c>
      <x:c r="E10" s="164" t="n">
        <x:f>397/1300</x:f>
        <x:v>0.30538461538461537</x:v>
      </x:c>
      <x:c r="F10" s="163" t="str">
        <x:v>397 / 1.300 minutos incluídos</x:v>
      </x:c>
      <x:c r="G10" s="163" t="str">
        <x:v>2026-07-14</x:v>
      </x:c>
      <x:c r="H10" s="163" t="str">
        <x:v>https://www.tavus.io/pricing</x:v>
      </x:c>
      <x:c r="I10" s="165" t="str">
        <x:v>Fórmula de plano público</x:v>
      </x:c>
    </x:row>
    <x:row r="11">
      <x:c r="A11" s="334" t="str">
        <x:v>Meeting bot</x:v>
      </x:c>
      <x:c r="B11" s="163" t="str">
        <x:v>Recall base compute</x:v>
      </x:c>
      <x:c r="C11" s="163" t="str">
        <x:v>Bot de reunião</x:v>
      </x:c>
      <x:c r="D11" s="163" t="str">
        <x:v>por minuto conectado</x:v>
      </x:c>
      <x:c r="E11" s="164" t="n">
        <x:f>0.5/60</x:f>
        <x:v>0.008333333333333333</x:v>
      </x:c>
      <x:c r="F11" s="163" t="str">
        <x:v>0,50 USD por hora</x:v>
      </x:c>
      <x:c r="G11" s="163" t="str">
        <x:v>2026-07-14</x:v>
      </x:c>
      <x:c r="H11" s="163" t="str">
        <x:v>https://www.recall.ai/pricing</x:v>
      </x:c>
      <x:c r="I11" s="165" t="str">
        <x:v>Fórmula de preço público</x:v>
      </x:c>
    </x:row>
    <x:row r="12">
      <x:c r="A12" s="335" t="str">
        <x:v>Telefonia</x:v>
      </x:c>
      <x:c r="B12" s="175" t="str">
        <x:v>Telnyx Voice API control</x:v>
      </x:c>
      <x:c r="C12" s="175" t="str">
        <x:v>Controle da chamada outbound</x:v>
      </x:c>
      <x:c r="D12" s="175" t="str">
        <x:v>por minuto conectado</x:v>
      </x:c>
      <x:c r="E12" s="176" t="n">
        <x:v>0.002</x:v>
      </x:c>
      <x:c r="F12" s="175" t="str">
        <x:v>Voice API + tarifa SIP separada</x:v>
      </x:c>
      <x:c r="G12" s="175" t="str">
        <x:v>2026-07-14</x:v>
      </x:c>
      <x:c r="H12" s="175" t="str">
        <x:v>https://telnyx.com/pricing/voice-api</x:v>
      </x:c>
      <x:c r="I12" s="177" t="str">
        <x:v>Provider-sourced</x:v>
      </x:c>
    </x:row>
    <x:row r="13">
      <x:c r="A13" s="335" t="str">
        <x:v>Telefonia</x:v>
      </x:c>
      <x:c r="B13" s="175" t="str">
        <x:v>Telnyx SIP outbound starting</x:v>
      </x:c>
      <x:c r="C13" s="175" t="str">
        <x:v>Terminação SIP outbound</x:v>
      </x:c>
      <x:c r="D13" s="175" t="str">
        <x:v>por minuto conectado</x:v>
      </x:c>
      <x:c r="E13" s="176" t="n">
        <x:v>0.005</x:v>
      </x:c>
      <x:c r="F13" s="175" t="str">
        <x:v>Tarifa pública inicial, varia por destino</x:v>
      </x:c>
      <x:c r="G13" s="175" t="str">
        <x:v>2026-07-14</x:v>
      </x:c>
      <x:c r="H13" s="175" t="str">
        <x:v>https://telnyx.com/pricing/elastic-sip</x:v>
      </x:c>
      <x:c r="I13" s="177" t="str">
        <x:v>Provider-sourced, confirmar por rota</x:v>
      </x:c>
    </x:row>
    <x:row r="14">
      <x:c r="A14" s="335" t="str">
        <x:v>Storage</x:v>
      </x:c>
      <x:c r="B14" s="175" t="str">
        <x:v>Recording pipeline</x:v>
      </x:c>
      <x:c r="C14" s="175" t="str">
        <x:v>Gravação e processamento</x:v>
      </x:c>
      <x:c r="D14" s="175" t="str">
        <x:v>por minuto conectado</x:v>
      </x:c>
      <x:c r="E14" s="176" t="n">
        <x:v>0.005</x:v>
      </x:c>
      <x:c r="F14" s="175" t="str">
        <x:v>Premissa interna</x:v>
      </x:c>
      <x:c r="G14" s="175" t="str">
        <x:v>2026-07-14</x:v>
      </x:c>
      <x:c r="H14" s="175" t="str"/>
      <x:c r="I14" s="177" t="str">
        <x:v>Premissa interna</x:v>
      </x:c>
    </x:row>
    <x:row r="15">
      <x:c r="A15" s="335" t="str">
        <x:v>Observability</x:v>
      </x:c>
      <x:c r="B15" s="175" t="str">
        <x:v>Tracing and logs</x:v>
      </x:c>
      <x:c r="C15" s="175" t="str">
        <x:v>Telemetria</x:v>
      </x:c>
      <x:c r="D15" s="175" t="str">
        <x:v>por minuto conectado</x:v>
      </x:c>
      <x:c r="E15" s="176" t="n">
        <x:v>0.003</x:v>
      </x:c>
      <x:c r="F15" s="175" t="str">
        <x:v>Premissa interna</x:v>
      </x:c>
      <x:c r="G15" s="175" t="str">
        <x:v>2026-07-14</x:v>
      </x:c>
      <x:c r="H15" s="175" t="str"/>
      <x:c r="I15" s="177" t="str">
        <x:v>Premissa interna</x:v>
      </x:c>
    </x:row>
    <x:row r="16">
      <x:c r="A16" s="335" t="str">
        <x:v>Infrastructure</x:v>
      </x:c>
      <x:c r="B16" s="175" t="str">
        <x:v>Realtime compute</x:v>
      </x:c>
      <x:c r="C16" s="175" t="str">
        <x:v>Worker e cache</x:v>
      </x:c>
      <x:c r="D16" s="175" t="str">
        <x:v>por minuto conectado</x:v>
      </x:c>
      <x:c r="E16" s="176" t="n">
        <x:v>0.008</x:v>
      </x:c>
      <x:c r="F16" s="175" t="str">
        <x:v>Premissa interna</x:v>
      </x:c>
      <x:c r="G16" s="175" t="str">
        <x:v>2026-07-14</x:v>
      </x:c>
      <x:c r="H16" s="175" t="str"/>
      <x:c r="I16" s="177" t="str">
        <x:v>Premissa interna</x:v>
      </x:c>
    </x:row>
    <x:row r="17">
      <x:c r="A17" s="335" t="str">
        <x:v>Operations</x:v>
      </x:c>
      <x:c r="B17" s="175" t="str">
        <x:v>Support allocation</x:v>
      </x:c>
      <x:c r="C17" s="175" t="str">
        <x:v>Suporte operacional</x:v>
      </x:c>
      <x:c r="D17" s="175" t="str">
        <x:v>por minuto conectado</x:v>
      </x:c>
      <x:c r="E17" s="176" t="n">
        <x:v>0.005</x:v>
      </x:c>
      <x:c r="F17" s="175" t="str">
        <x:v>Premissa interna</x:v>
      </x:c>
      <x:c r="G17" s="175" t="str">
        <x:v>2026-07-14</x:v>
      </x:c>
      <x:c r="H17" s="175" t="str"/>
      <x:c r="I17" s="177" t="str">
        <x:v>Premissa interna</x:v>
      </x:c>
    </x:row>
    <x:row r="18">
      <x:c r="A18" s="335" t="str">
        <x:v>Fees</x:v>
      </x:c>
      <x:c r="B18" s="175" t="str">
        <x:v>Payment processor</x:v>
      </x:c>
      <x:c r="C18" s="175" t="str">
        <x:v>Taxa sobre receita</x:v>
      </x:c>
      <x:c r="D18" s="175" t="str">
        <x:v>percentual</x:v>
      </x:c>
      <x:c r="E18" s="176" t="n">
        <x:v>0.03</x:v>
      </x:c>
      <x:c r="F18" s="175" t="str">
        <x:v>Premissa inicial</x:v>
      </x:c>
      <x:c r="G18" s="175" t="str">
        <x:v>2026-07-14</x:v>
      </x:c>
      <x:c r="H18" s="175" t="str"/>
      <x:c r="I18" s="177" t="str">
        <x:v>Editar por mercado</x:v>
      </x:c>
    </x:row>
    <x:row r="19">
      <x:c r="A19" s="335" t="str">
        <x:v>Reserve</x:v>
      </x:c>
      <x:c r="B19" s="175" t="str">
        <x:v>Provider variance reserve</x:v>
      </x:c>
      <x:c r="C19" s="175" t="str">
        <x:v>Reserva de custo</x:v>
      </x:c>
      <x:c r="D19" s="175" t="str">
        <x:v>percentual</x:v>
      </x:c>
      <x:c r="E19" s="176" t="n">
        <x:v>0.1</x:v>
      </x:c>
      <x:c r="F19" s="175" t="str">
        <x:v>Premissa inicial</x:v>
      </x:c>
      <x:c r="G19" s="175" t="str">
        <x:v>2026-07-14</x:v>
      </x:c>
      <x:c r="H19" s="175" t="str"/>
      <x:c r="I19" s="177" t="str">
        <x:v>Proteção contra variação</x:v>
      </x:c>
    </x:row>
    <x:row r="20">
      <x:c r="A20" s="335" t="str">
        <x:v>Storage</x:v>
      </x:c>
      <x:c r="B20" s="175" t="str">
        <x:v>Object storage</x:v>
      </x:c>
      <x:c r="C20" s="175" t="str">
        <x:v>GB-mês</x:v>
      </x:c>
      <x:c r="D20" s="175" t="str">
        <x:v>por GB-mês</x:v>
      </x:c>
      <x:c r="E20" s="176" t="n">
        <x:v>0.03</x:v>
      </x:c>
      <x:c r="F20" s="175" t="str">
        <x:v>Referência de mercado</x:v>
      </x:c>
      <x:c r="G20" s="175" t="str">
        <x:v>2026-07-14</x:v>
      </x:c>
      <x:c r="H20" s="175" t="str">
        <x:v>https://www.recall.ai/pricing</x:v>
      </x:c>
      <x:c r="I20" s="177" t="str">
        <x:v>Revisar por provider</x:v>
      </x:c>
    </x:row>
    <x:row r="21">
      <x:c r="A21" s="335" t="str">
        <x:v>Egress</x:v>
      </x:c>
      <x:c r="B21" s="175" t="str">
        <x:v>Data egress</x:v>
      </x:c>
      <x:c r="C21" s="175" t="str">
        <x:v>Saída de dados</x:v>
      </x:c>
      <x:c r="D21" s="175" t="str">
        <x:v>por GB</x:v>
      </x:c>
      <x:c r="E21" s="176" t="n">
        <x:v>0.09</x:v>
      </x:c>
      <x:c r="F21" s="175" t="str">
        <x:v>Premissa inicial</x:v>
      </x:c>
      <x:c r="G21" s="175" t="str">
        <x:v>2026-07-14</x:v>
      </x:c>
      <x:c r="H21" s="175" t="str"/>
      <x:c r="I21" s="177" t="str">
        <x:v>Premissa interna</x:v>
      </x:c>
    </x:row>
    <x:row r="22">
      <x:c r="A22" s="336" t="str">
        <x:v>Capacity</x:v>
      </x:c>
      <x:c r="B22" s="179" t="str">
        <x:v>Avatar warm pool</x:v>
      </x:c>
      <x:c r="C22" s="179" t="str">
        <x:v>Reserva de capacidade</x:v>
      </x:c>
      <x:c r="D22" s="179" t="str">
        <x:v>por slot concorrente / mês</x:v>
      </x:c>
      <x:c r="E22" s="180" t="n">
        <x:v>25</x:v>
      </x:c>
      <x:c r="F22" s="179" t="str">
        <x:v>Premissa inicial</x:v>
      </x:c>
      <x:c r="G22" s="179" t="str">
        <x:v>2026-07-14</x:v>
      </x:c>
      <x:c r="H22" s="179" t="str"/>
      <x:c r="I22" s="181" t="str">
        <x:v>Validar no bake-off</x:v>
      </x:c>
    </x:row>
    <x:row r="23">
      <x:c r="A23" s="337"/>
    </x:row>
    <x:row r="24">
      <x:c r="A24" s="337"/>
    </x:row>
    <x:row r="25">
      <x:c r="A25" s="337"/>
    </x:row>
    <x:row r="26">
      <x:c r="A26" s="337"/>
    </x:row>
    <x:row r="27">
      <x:c r="A27" s="337"/>
    </x:row>
    <x:row r="28">
      <x:c r="A28" s="337"/>
    </x:row>
    <x:row r="29">
      <x:c r="A29" s="337"/>
    </x:row>
    <x:row r="30">
      <x:c r="A30" s="337"/>
    </x:row>
    <x:row r="31">
      <x:c r="A31" s="337"/>
    </x:row>
    <x:row r="32">
      <x:c r="A32" s="337"/>
    </x:row>
    <x:row r="33">
      <x:c r="A33" s="337"/>
    </x:row>
    <x:row r="34">
      <x:c r="A34" s="337"/>
    </x:row>
    <x:row r="35">
      <x:c r="A35" s="337"/>
    </x:row>
    <x:row r="36">
      <x:c r="A36" s="337"/>
    </x:row>
    <x:row r="37">
      <x:c r="A37" s="337"/>
    </x:row>
    <x:row r="38">
      <x:c r="A38" s="337"/>
    </x:row>
    <x:row r="39">
      <x:c r="A39" s="337"/>
    </x:row>
    <x:row r="40">
      <x:c r="A40" s="337"/>
    </x:row>
    <x:row r="41">
      <x:c r="A41" s="337"/>
    </x:row>
    <x:row r="42">
      <x:c r="A42" s="337"/>
    </x:row>
    <x:row r="43">
      <x:c r="A43" s="337"/>
    </x:row>
    <x:row r="44">
      <x:c r="A44" s="337"/>
    </x:row>
    <x:row r="45">
      <x:c r="A45" s="337"/>
    </x:row>
    <x:row r="46">
      <x:c r="A46" s="337"/>
    </x:row>
    <x:row r="47">
      <x:c r="A47" s="337"/>
    </x:row>
    <x:row r="48">
      <x:c r="A48" s="337"/>
    </x:row>
    <x:row r="49">
      <x:c r="A49" s="337"/>
    </x:row>
    <x:row r="50">
      <x:c r="A50" s="337"/>
    </x:row>
    <x:row r="51">
      <x:c r="A51" s="337"/>
    </x:row>
    <x:row r="52">
      <x:c r="A52" s="337"/>
    </x:row>
    <x:row r="53">
      <x:c r="A53" s="337"/>
    </x:row>
    <x:row r="54">
      <x:c r="A54" s="337"/>
    </x:row>
    <x:row r="55">
      <x:c r="A55" s="337"/>
    </x:row>
    <x:row r="56">
      <x:c r="A56" s="337"/>
    </x:row>
    <x:row r="57">
      <x:c r="A57" s="337"/>
    </x:row>
    <x:row r="58">
      <x:c r="A58" s="337"/>
    </x:row>
    <x:row r="59">
      <x:c r="A59" s="337"/>
    </x:row>
    <x:row r="60">
      <x:c r="A60" s="337"/>
    </x:row>
    <x:row r="61">
      <x:c r="A61" s="337"/>
    </x:row>
    <x:row r="62">
      <x:c r="A62" s="337"/>
    </x:row>
    <x:row r="63">
      <x:c r="A63" s="337"/>
    </x:row>
    <x:row r="64">
      <x:c r="A64" s="337"/>
    </x:row>
    <x:row r="65">
      <x:c r="A65" s="337"/>
    </x:row>
    <x:row r="66">
      <x:c r="A66" s="337"/>
    </x:row>
    <x:row r="67">
      <x:c r="A67" s="337"/>
    </x:row>
    <x:row r="68">
      <x:c r="A68" s="337"/>
    </x:row>
    <x:row r="69">
      <x:c r="A69" s="337"/>
    </x:row>
    <x:row r="70">
      <x:c r="A70" s="337"/>
    </x:row>
    <x:row r="71">
      <x:c r="A71" s="337"/>
    </x:row>
    <x:row r="72">
      <x:c r="A72" s="337"/>
    </x:row>
    <x:row r="73">
      <x:c r="A73" s="337"/>
    </x:row>
    <x:row r="74">
      <x:c r="A74" s="337"/>
    </x:row>
    <x:row r="75">
      <x:c r="A75" s="337"/>
    </x:row>
    <x:row r="76">
      <x:c r="A76" s="337"/>
    </x:row>
    <x:row r="77">
      <x:c r="A77" s="337"/>
    </x:row>
    <x:row r="78">
      <x:c r="A78" s="337"/>
    </x:row>
    <x:row r="79">
      <x:c r="A79" s="337"/>
    </x:row>
    <x:row r="80">
      <x:c r="A80" s="337"/>
    </x:row>
    <x:row r="81">
      <x:c r="A81" s="337"/>
    </x:row>
    <x:row r="82">
      <x:c r="A82" s="337"/>
    </x:row>
    <x:row r="83">
      <x:c r="A83" s="337"/>
    </x:row>
    <x:row r="84">
      <x:c r="A84" s="337"/>
    </x:row>
    <x:row r="85">
      <x:c r="A85" s="337"/>
    </x:row>
    <x:row r="86">
      <x:c r="A86" s="337"/>
    </x:row>
    <x:row r="87">
      <x:c r="A87" s="337"/>
    </x:row>
    <x:row r="88">
      <x:c r="A88" s="337"/>
    </x:row>
    <x:row r="89">
      <x:c r="A89" s="337"/>
    </x:row>
    <x:row r="90">
      <x:c r="A90" s="337"/>
    </x:row>
    <x:row r="91">
      <x:c r="A91" s="337"/>
    </x:row>
    <x:row r="92">
      <x:c r="A92" s="337"/>
    </x:row>
    <x:row r="93">
      <x:c r="A93" s="337"/>
    </x:row>
    <x:row r="94">
      <x:c r="A94" s="337"/>
    </x:row>
    <x:row r="95">
      <x:c r="A95" s="337"/>
    </x:row>
    <x:row r="96">
      <x:c r="A96" s="337"/>
    </x:row>
    <x:row r="97">
      <x:c r="A97" s="337"/>
    </x:row>
    <x:row r="98">
      <x:c r="A98" s="337"/>
    </x:row>
    <x:row r="99">
      <x:c r="A99" s="337"/>
    </x:row>
    <x:row r="100">
      <x:c r="A100" s="337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7a9951d553ef4ad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8" hidden="0" customWidth="1"/>
    <x:col min="4" max="4" width="14" hidden="0" customWidth="1"/>
    <x:col min="5" max="5" width="48" hidden="0" customWidth="1"/>
  </x:cols>
  <x:sheetData>
    <x:row r="1" ht="34" customHeight="1">
      <x:c r="A1" s="374" t="str">
        <x:v>Global Assumptions</x:v>
      </x:c>
      <x:c r="B1" s="5"/>
      <x:c r="C1" s="5"/>
      <x:c r="D1" s="5"/>
      <x:c r="E1" s="5"/>
    </x:row>
    <x:row r="2" ht="26" customHeight="1">
      <x:c r="A2" s="376" t="str">
        <x:v>Premissas operacionais e financeiras compartilhadas pelos canais.</x:v>
      </x:c>
      <x:c r="B2" s="14"/>
      <x:c r="C2" s="14"/>
      <x:c r="D2" s="14"/>
      <x:c r="E2" s="14"/>
    </x:row>
    <x:row r="3" ht="28" customHeight="1">
      <x:c r="A3" s="332" t="str">
        <x:v>Premissa</x:v>
      </x:c>
      <x:c r="B3" s="122" t="str">
        <x:v>Valor</x:v>
      </x:c>
      <x:c r="C3" s="122" t="str">
        <x:v>Unidade</x:v>
      </x:c>
      <x:c r="D3" s="122" t="str">
        <x:v>Tipo</x:v>
      </x:c>
      <x:c r="E3" s="123" t="str">
        <x:v>Observação</x:v>
      </x:c>
    </x:row>
    <x:row r="4">
      <x:c r="A4" s="346" t="str">
        <x:v>FX USD para BRL</x:v>
      </x:c>
      <x:c r="B4" s="202" t="n">
        <x:v>5.4</x:v>
      </x:c>
      <x:c r="C4" s="191" t="str">
        <x:v>BRL por USD</x:v>
      </x:c>
      <x:c r="D4" s="191" t="str">
        <x:v>Input</x:v>
      </x:c>
      <x:c r="E4" s="192" t="str">
        <x:v>Editar conforme a data de precificação</x:v>
      </x:c>
    </x:row>
    <x:row r="5">
      <x:c r="A5" s="335" t="str">
        <x:v>Minutos conectados por call</x:v>
      </x:c>
      <x:c r="B5" s="203" t="n">
        <x:v>30</x:v>
      </x:c>
      <x:c r="C5" s="175" t="str">
        <x:v>minutos</x:v>
      </x:c>
      <x:c r="D5" s="175" t="str">
        <x:v>Input</x:v>
      </x:c>
      <x:c r="E5" s="177" t="str">
        <x:v>Média inicial</x:v>
      </x:c>
    </x:row>
    <x:row r="6">
      <x:c r="A6" s="335" t="str">
        <x:v>Percentual falado da call</x:v>
      </x:c>
      <x:c r="B6" s="210" t="n">
        <x:v>0.55</x:v>
      </x:c>
      <x:c r="C6" s="175" t="str">
        <x:v>%</x:v>
      </x:c>
      <x:c r="D6" s="175" t="str">
        <x:v>Input</x:v>
      </x:c>
      <x:c r="E6" s="177" t="str">
        <x:v>Tempo com áudio gerado ou processado</x:v>
      </x:c>
    </x:row>
    <x:row r="7">
      <x:c r="A7" s="335" t="str">
        <x:v>Avatar ativo</x:v>
      </x:c>
      <x:c r="B7" s="210" t="n">
        <x:v>1</x:v>
      </x:c>
      <x:c r="C7" s="175" t="str">
        <x:v>%</x:v>
      </x:c>
      <x:c r="D7" s="175" t="str">
        <x:v>Input</x:v>
      </x:c>
      <x:c r="E7" s="177" t="str">
        <x:v>Vídeo nativo e reunião externa</x:v>
      </x:c>
    </x:row>
    <x:row r="8">
      <x:c r="A8" s="335" t="str">
        <x:v>Meeting bot ativo</x:v>
      </x:c>
      <x:c r="B8" s="210" t="n">
        <x:v>1</x:v>
      </x:c>
      <x:c r="C8" s="175" t="str">
        <x:v>%</x:v>
      </x:c>
      <x:c r="D8" s="175" t="str">
        <x:v>Input</x:v>
      </x:c>
      <x:c r="E8" s="177" t="str">
        <x:v>Reunião externa</x:v>
      </x:c>
    </x:row>
    <x:row r="9">
      <x:c r="A9" s="335" t="str">
        <x:v>Gravação ativa</x:v>
      </x:c>
      <x:c r="B9" s="210" t="n">
        <x:v>1</x:v>
      </x:c>
      <x:c r="C9" s="175" t="str">
        <x:v>%</x:v>
      </x:c>
      <x:c r="D9" s="175" t="str">
        <x:v>Input</x:v>
      </x:c>
      <x:c r="E9" s="177" t="str">
        <x:v>Pode ser desligada por tenant ou consentimento</x:v>
      </x:c>
    </x:row>
    <x:row r="10">
      <x:c r="A10" s="335" t="str">
        <x:v>Caracteres por minuto falado</x:v>
      </x:c>
      <x:c r="B10" s="203" t="n">
        <x:v>850</x:v>
      </x:c>
      <x:c r="C10" s="175" t="str">
        <x:v>caracteres</x:v>
      </x:c>
      <x:c r="D10" s="175" t="str">
        <x:v>Input</x:v>
      </x:c>
      <x:c r="E10" s="177" t="str">
        <x:v>Usado no TTS modular</x:v>
      </x:c>
    </x:row>
    <x:row r="11">
      <x:c r="A11" s="335" t="str">
        <x:v>Target gross margin</x:v>
      </x:c>
      <x:c r="B11" s="210" t="n">
        <x:v>0.7</x:v>
      </x:c>
      <x:c r="C11" s="175" t="str">
        <x:v>%</x:v>
      </x:c>
      <x:c r="D11" s="175" t="str">
        <x:v>Input</x:v>
      </x:c>
      <x:c r="E11" s="177" t="str">
        <x:v>Meta inicial</x:v>
      </x:c>
    </x:row>
    <x:row r="12">
      <x:c r="A12" s="335" t="str">
        <x:v>Suporte fixo por tenant / mês</x:v>
      </x:c>
      <x:c r="B12" s="210" t="n">
        <x:v>75</x:v>
      </x:c>
      <x:c r="C12" s="175" t="str">
        <x:v>USD</x:v>
      </x:c>
      <x:c r="D12" s="175" t="str">
        <x:v>Input</x:v>
      </x:c>
      <x:c r="E12" s="177" t="str">
        <x:v>Alocação operacional</x:v>
      </x:c>
    </x:row>
    <x:row r="13">
      <x:c r="A13" s="335" t="str">
        <x:v>Overhead de plataforma / mês</x:v>
      </x:c>
      <x:c r="B13" s="203" t="n">
        <x:v>500</x:v>
      </x:c>
      <x:c r="C13" s="175" t="str">
        <x:v>USD</x:v>
      </x:c>
      <x:c r="D13" s="175" t="str">
        <x:v>Input</x:v>
      </x:c>
      <x:c r="E13" s="177" t="str">
        <x:v>Base inicial</x:v>
      </x:c>
    </x:row>
    <x:row r="14">
      <x:c r="A14" s="347" t="str">
        <x:v>Payment processing rate</x:v>
      </x:c>
      <x:c r="B14" s="212" t="n">
        <x:f>Provider_Catalog!$E$18</x:f>
        <x:v>0.03</x:v>
      </x:c>
      <x:c r="C14" s="197" t="str">
        <x:v>%</x:v>
      </x:c>
      <x:c r="D14" s="197" t="str">
        <x:v>Formula</x:v>
      </x:c>
      <x:c r="E14" s="198" t="str">
        <x:v>Provider_Catalog</x:v>
      </x:c>
    </x:row>
    <x:row r="15">
      <x:c r="A15" s="347" t="str">
        <x:v>Cost reserve</x:v>
      </x:c>
      <x:c r="B15" s="212" t="n">
        <x:f>Provider_Catalog!$E$19</x:f>
        <x:v>0.1</x:v>
      </x:c>
      <x:c r="C15" s="197" t="str">
        <x:v>%</x:v>
      </x:c>
      <x:c r="D15" s="197" t="str">
        <x:v>Formula</x:v>
      </x:c>
      <x:c r="E15" s="198" t="str">
        <x:v>Provider_Catalog</x:v>
      </x:c>
    </x:row>
    <x:row r="16">
      <x:c r="A16" s="335" t="str">
        <x:v>Horas por mês</x:v>
      </x:c>
      <x:c r="B16" s="203" t="n">
        <x:v>730</x:v>
      </x:c>
      <x:c r="C16" s="175" t="str">
        <x:v>horas</x:v>
      </x:c>
      <x:c r="D16" s="175" t="str">
        <x:v>Input</x:v>
      </x:c>
      <x:c r="E16" s="177" t="str">
        <x:v>Capacidade contínua</x:v>
      </x:c>
    </x:row>
    <x:row r="17">
      <x:c r="A17" s="335" t="str">
        <x:v>Utilização produtiva base</x:v>
      </x:c>
      <x:c r="B17" s="210" t="n">
        <x:v>0.35</x:v>
      </x:c>
      <x:c r="C17" s="175" t="str">
        <x:v>%</x:v>
      </x:c>
      <x:c r="D17" s="175" t="str">
        <x:v>Input</x:v>
      </x:c>
      <x:c r="E17" s="177" t="str">
        <x:v>Tempo realmente utilizado</x:v>
      </x:c>
    </x:row>
    <x:row r="18">
      <x:c r="A18" s="335" t="str">
        <x:v>Peak factor</x:v>
      </x:c>
      <x:c r="B18" s="203" t="n">
        <x:v>1.7</x:v>
      </x:c>
      <x:c r="C18" s="175" t="str">
        <x:v>x</x:v>
      </x:c>
      <x:c r="D18" s="175" t="str">
        <x:v>Input</x:v>
      </x:c>
      <x:c r="E18" s="177" t="str">
        <x:v>Folga de capacidade</x:v>
      </x:c>
    </x:row>
    <x:row r="19">
      <x:c r="A19" s="335" t="str">
        <x:v>Tenants ativos para rateio</x:v>
      </x:c>
      <x:c r="B19" s="203" t="n">
        <x:v>20</x:v>
      </x:c>
      <x:c r="C19" s="175" t="str">
        <x:v>tenants</x:v>
      </x:c>
      <x:c r="D19" s="175" t="str">
        <x:v>Input</x:v>
      </x:c>
      <x:c r="E19" s="177" t="str">
        <x:v>Base de rateio do overhead</x:v>
      </x:c>
    </x:row>
    <x:row r="20">
      <x:c r="A20" s="336" t="str">
        <x:v>Calls por tenant / mês</x:v>
      </x:c>
      <x:c r="B20" s="205" t="n">
        <x:v>50</x:v>
      </x:c>
      <x:c r="C20" s="179" t="str">
        <x:v>calls</x:v>
      </x:c>
      <x:c r="D20" s="179" t="str">
        <x:v>Input</x:v>
      </x:c>
      <x:c r="E20" s="181" t="str">
        <x:v>Referência para sizing</x:v>
      </x:c>
    </x:row>
    <x:row r="21">
      <x:c r="A21" s="337"/>
    </x:row>
    <x:row r="22">
      <x:c r="A22" s="337"/>
    </x:row>
    <x:row r="23">
      <x:c r="A23" s="337"/>
    </x:row>
    <x:row r="24">
      <x:c r="A24" s="337"/>
    </x:row>
    <x:row r="25">
      <x:c r="A25" s="337"/>
    </x:row>
    <x:row r="26">
      <x:c r="A26" s="337"/>
    </x:row>
    <x:row r="27">
      <x:c r="A27" s="337"/>
    </x:row>
    <x:row r="28">
      <x:c r="A28" s="337"/>
    </x:row>
    <x:row r="29">
      <x:c r="A29" s="337"/>
    </x:row>
    <x:row r="30">
      <x:c r="A30" s="337"/>
    </x:row>
    <x:row r="31">
      <x:c r="A31" s="337"/>
    </x:row>
    <x:row r="32">
      <x:c r="A32" s="337"/>
    </x:row>
    <x:row r="33">
      <x:c r="A33" s="337"/>
    </x:row>
    <x:row r="34">
      <x:c r="A34" s="337"/>
    </x:row>
    <x:row r="35">
      <x:c r="A35" s="337"/>
    </x:row>
    <x:row r="36">
      <x:c r="A36" s="337"/>
    </x:row>
    <x:row r="37">
      <x:c r="A37" s="337"/>
    </x:row>
    <x:row r="38">
      <x:c r="A38" s="337"/>
    </x:row>
    <x:row r="39">
      <x:c r="A39" s="337"/>
    </x:row>
    <x:row r="40">
      <x:c r="A40" s="337"/>
    </x:row>
    <x:row r="41">
      <x:c r="A41" s="337"/>
    </x:row>
    <x:row r="42">
      <x:c r="A42" s="337"/>
    </x:row>
    <x:row r="43">
      <x:c r="A43" s="337"/>
    </x:row>
    <x:row r="44">
      <x:c r="A44" s="337"/>
    </x:row>
    <x:row r="45">
      <x:c r="A45" s="337"/>
    </x:row>
    <x:row r="46">
      <x:c r="A46" s="337"/>
    </x:row>
    <x:row r="47">
      <x:c r="A47" s="337"/>
    </x:row>
    <x:row r="48">
      <x:c r="A48" s="337"/>
    </x:row>
    <x:row r="49">
      <x:c r="A49" s="337"/>
    </x:row>
    <x:row r="50">
      <x:c r="A50" s="337"/>
    </x:row>
    <x:row r="51">
      <x:c r="A51" s="337"/>
    </x:row>
    <x:row r="52">
      <x:c r="A52" s="337"/>
    </x:row>
    <x:row r="53">
      <x:c r="A53" s="337"/>
    </x:row>
    <x:row r="54">
      <x:c r="A54" s="337"/>
    </x:row>
    <x:row r="55">
      <x:c r="A55" s="337"/>
    </x:row>
    <x:row r="56">
      <x:c r="A56" s="337"/>
    </x:row>
    <x:row r="57">
      <x:c r="A57" s="337"/>
    </x:row>
    <x:row r="58">
      <x:c r="A58" s="337"/>
    </x:row>
    <x:row r="59">
      <x:c r="A59" s="337"/>
    </x:row>
    <x:row r="60">
      <x:c r="A60" s="337"/>
    </x:row>
    <x:row r="61">
      <x:c r="A61" s="337"/>
    </x:row>
    <x:row r="62">
      <x:c r="A62" s="337"/>
    </x:row>
    <x:row r="63">
      <x:c r="A63" s="337"/>
    </x:row>
    <x:row r="64">
      <x:c r="A64" s="337"/>
    </x:row>
    <x:row r="65">
      <x:c r="A65" s="337"/>
    </x:row>
    <x:row r="66">
      <x:c r="A66" s="337"/>
    </x:row>
    <x:row r="67">
      <x:c r="A67" s="337"/>
    </x:row>
    <x:row r="68">
      <x:c r="A68" s="337"/>
    </x:row>
    <x:row r="69">
      <x:c r="A69" s="337"/>
    </x:row>
    <x:row r="70">
      <x:c r="A70" s="337"/>
    </x:row>
    <x:row r="71">
      <x:c r="A71" s="337"/>
    </x:row>
    <x:row r="72">
      <x:c r="A72" s="337"/>
    </x:row>
    <x:row r="73">
      <x:c r="A73" s="337"/>
    </x:row>
    <x:row r="74">
      <x:c r="A74" s="337"/>
    </x:row>
    <x:row r="75">
      <x:c r="A75" s="337"/>
    </x:row>
    <x:row r="76">
      <x:c r="A76" s="337"/>
    </x:row>
    <x:row r="77">
      <x:c r="A77" s="337"/>
    </x:row>
    <x:row r="78">
      <x:c r="A78" s="337"/>
    </x:row>
    <x:row r="79">
      <x:c r="A79" s="337"/>
    </x:row>
    <x:row r="80">
      <x:c r="A80" s="337"/>
    </x:row>
    <x:row r="81">
      <x:c r="A81" s="337"/>
    </x:row>
    <x:row r="82">
      <x:c r="A82" s="337"/>
    </x:row>
    <x:row r="83">
      <x:c r="A83" s="337"/>
    </x:row>
    <x:row r="84">
      <x:c r="A84" s="337"/>
    </x:row>
    <x:row r="85">
      <x:c r="A85" s="337"/>
    </x:row>
    <x:row r="86">
      <x:c r="A86" s="337"/>
    </x:row>
    <x:row r="87">
      <x:c r="A87" s="337"/>
    </x:row>
    <x:row r="88">
      <x:c r="A88" s="337"/>
    </x:row>
    <x:row r="89">
      <x:c r="A89" s="337"/>
    </x:row>
    <x:row r="90">
      <x:c r="A90" s="337"/>
    </x:row>
    <x:row r="91">
      <x:c r="A91" s="337"/>
    </x:row>
    <x:row r="92">
      <x:c r="A92" s="337"/>
    </x:row>
    <x:row r="93">
      <x:c r="A93" s="337"/>
    </x:row>
    <x:row r="94">
      <x:c r="A94" s="337"/>
    </x:row>
    <x:row r="95">
      <x:c r="A95" s="337"/>
    </x:row>
    <x:row r="96">
      <x:c r="A96" s="337"/>
    </x:row>
    <x:row r="97">
      <x:c r="A97" s="337"/>
    </x:row>
    <x:row r="98">
      <x:c r="A98" s="337"/>
    </x:row>
    <x:row r="99">
      <x:c r="A99" s="337"/>
    </x:row>
    <x:row r="100">
      <x:c r="A100" s="337"/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5" hidden="0" customWidth="1"/>
    <x:col min="4" max="4" width="15" hidden="0" customWidth="1"/>
    <x:col min="5" max="5" width="18" hidden="0" customWidth="1"/>
    <x:col min="6" max="6" width="17" hidden="0" customWidth="1"/>
    <x:col min="7" max="7" width="15" hidden="0" customWidth="1"/>
    <x:col min="8" max="8" width="40" hidden="0" customWidth="1"/>
  </x:cols>
  <x:sheetData>
    <x:row r="1" ht="34" customHeight="1">
      <x:c r="A1" s="374" t="str">
        <x:v>Channel Assumptions</x:v>
      </x:c>
      <x:c r="B1" s="5"/>
      <x:c r="C1" s="5"/>
      <x:c r="D1" s="5"/>
      <x:c r="E1" s="5"/>
      <x:c r="F1" s="5"/>
      <x:c r="G1" s="5"/>
      <x:c r="H1" s="5"/>
    </x:row>
    <x:row r="2" ht="26" customHeight="1">
      <x:c r="A2" s="376" t="str">
        <x:v>Ajustes de uso por canal. Os cost sheets usam estas linhas como fonte.</x:v>
      </x:c>
      <x:c r="B2" s="14"/>
      <x:c r="C2" s="14"/>
      <x:c r="D2" s="14"/>
      <x:c r="E2" s="14"/>
      <x:c r="F2" s="14"/>
      <x:c r="G2" s="14"/>
      <x:c r="H2" s="14"/>
    </x:row>
    <x:row r="3" ht="28" customHeight="1">
      <x:c r="A3" s="332" t="str">
        <x:v>Canal</x:v>
      </x:c>
      <x:c r="B3" s="122" t="str">
        <x:v>Min conectados / call</x:v>
      </x:c>
      <x:c r="C3" s="122" t="str">
        <x:v>Speech ratio</x:v>
      </x:c>
      <x:c r="D3" s="122" t="str">
        <x:v>Avatar ratio</x:v>
      </x:c>
      <x:c r="E3" s="122" t="str">
        <x:v>Meeting bot ratio</x:v>
      </x:c>
      <x:c r="F3" s="122" t="str">
        <x:v>Recording ratio</x:v>
      </x:c>
      <x:c r="G3" s="122" t="str">
        <x:v>Voice mode</x:v>
      </x:c>
      <x:c r="H3" s="123" t="str">
        <x:v>Observação</x:v>
      </x:c>
    </x:row>
    <x:row r="4">
      <x:c r="A4" s="350" t="str">
        <x:v>Native Modular Voice</x:v>
      </x:c>
      <x:c r="B4" s="191" t="n">
        <x:f>Global_Assumptions!$B$5</x:f>
        <x:v>30</x:v>
      </x:c>
      <x:c r="C4" s="214" t="n">
        <x:f>Global_Assumptions!$B$6</x:f>
        <x:v>0.55</x:v>
      </x:c>
      <x:c r="D4" s="214" t="n">
        <x:v>0</x:v>
      </x:c>
      <x:c r="E4" s="214" t="n">
        <x:v>0</x:v>
      </x:c>
      <x:c r="F4" s="214" t="n">
        <x:f>Global_Assumptions!$B$9</x:f>
        <x:v>1</x:v>
      </x:c>
      <x:c r="G4" s="89" t="str">
        <x:v>Modular</x:v>
      </x:c>
      <x:c r="H4" s="90" t="str">
        <x:v>STT + text LLM + TTS</x:v>
      </x:c>
    </x:row>
    <x:row r="5">
      <x:c r="A5" s="351" t="str">
        <x:v>Native S2S Voice</x:v>
      </x:c>
      <x:c r="B5" s="175" t="n">
        <x:f>Global_Assumptions!$B$5</x:f>
        <x:v>30</x:v>
      </x:c>
      <x:c r="C5" s="210" t="n">
        <x:f>Global_Assumptions!$B$6</x:f>
        <x:v>0.55</x:v>
      </x:c>
      <x:c r="D5" s="210" t="n">
        <x:v>0</x:v>
      </x:c>
      <x:c r="E5" s="210" t="n">
        <x:v>0</x:v>
      </x:c>
      <x:c r="F5" s="210" t="n">
        <x:f>Global_Assumptions!$B$9</x:f>
        <x:v>1</x:v>
      </x:c>
      <x:c r="G5" s="142" t="str">
        <x:v>S2S</x:v>
      </x:c>
      <x:c r="H5" s="143" t="str">
        <x:v>Speech-to-speech</x:v>
      </x:c>
    </x:row>
    <x:row r="6">
      <x:c r="A6" s="351" t="str">
        <x:v>Native Video</x:v>
      </x:c>
      <x:c r="B6" s="175" t="n">
        <x:f>Global_Assumptions!$B$5</x:f>
        <x:v>30</x:v>
      </x:c>
      <x:c r="C6" s="210" t="n">
        <x:f>Global_Assumptions!$B$6</x:f>
        <x:v>0.55</x:v>
      </x:c>
      <x:c r="D6" s="210" t="n">
        <x:f>Global_Assumptions!$B$7</x:f>
        <x:v>1</x:v>
      </x:c>
      <x:c r="E6" s="210" t="n">
        <x:v>0</x:v>
      </x:c>
      <x:c r="F6" s="210" t="n">
        <x:f>Global_Assumptions!$B$9</x:f>
        <x:v>1</x:v>
      </x:c>
      <x:c r="G6" s="142" t="str">
        <x:v>S2S</x:v>
      </x:c>
      <x:c r="H6" s="143" t="str">
        <x:v>Sala própria com avatar</x:v>
      </x:c>
    </x:row>
    <x:row r="7">
      <x:c r="A7" s="351" t="str">
        <x:v>External Meeting Video</x:v>
      </x:c>
      <x:c r="B7" s="175" t="n">
        <x:f>Global_Assumptions!$B$5</x:f>
        <x:v>30</x:v>
      </x:c>
      <x:c r="C7" s="210" t="n">
        <x:f>Global_Assumptions!$B$6</x:f>
        <x:v>0.55</x:v>
      </x:c>
      <x:c r="D7" s="210" t="n">
        <x:f>Global_Assumptions!$B$7</x:f>
        <x:v>1</x:v>
      </x:c>
      <x:c r="E7" s="210" t="n">
        <x:f>Global_Assumptions!$B$8</x:f>
        <x:v>1</x:v>
      </x:c>
      <x:c r="F7" s="210" t="n">
        <x:f>Global_Assumptions!$B$9</x:f>
        <x:v>1</x:v>
      </x:c>
      <x:c r="G7" s="142" t="str">
        <x:v>S2S</x:v>
      </x:c>
      <x:c r="H7" s="143" t="str">
        <x:v>Meet / Zoom via meeting bot</x:v>
      </x:c>
    </x:row>
    <x:row r="8">
      <x:c r="A8" s="352" t="str">
        <x:v>Telephony Voice</x:v>
      </x:c>
      <x:c r="B8" s="179" t="n">
        <x:f>Global_Assumptions!$B$5</x:f>
        <x:v>30</x:v>
      </x:c>
      <x:c r="C8" s="215" t="n">
        <x:f>Global_Assumptions!$B$6</x:f>
        <x:v>0.55</x:v>
      </x:c>
      <x:c r="D8" s="215" t="n">
        <x:v>0</x:v>
      </x:c>
      <x:c r="E8" s="215" t="n">
        <x:v>0</x:v>
      </x:c>
      <x:c r="F8" s="215" t="n">
        <x:f>Global_Assumptions!$B$9</x:f>
        <x:v>1</x:v>
      </x:c>
      <x:c r="G8" s="92" t="str">
        <x:v>S2S</x:v>
      </x:c>
      <x:c r="H8" s="93" t="str">
        <x:v>Telnyx + realtime voice</x:v>
      </x:c>
    </x:row>
    <x:row r="9">
      <x:c r="A9" s="337"/>
    </x:row>
    <x:row r="10">
      <x:c r="A10" s="337"/>
    </x:row>
    <x:row r="11">
      <x:c r="A11" s="337"/>
    </x:row>
    <x:row r="12">
      <x:c r="A12" s="337"/>
    </x:row>
    <x:row r="13">
      <x:c r="A13" s="337"/>
    </x:row>
    <x:row r="14">
      <x:c r="A14" s="337"/>
    </x:row>
    <x:row r="15">
      <x:c r="A15" s="337"/>
    </x:row>
    <x:row r="16">
      <x:c r="A16" s="337"/>
    </x:row>
    <x:row r="17">
      <x:c r="A17" s="337"/>
    </x:row>
    <x:row r="18">
      <x:c r="A18" s="337"/>
    </x:row>
    <x:row r="19">
      <x:c r="A19" s="337"/>
    </x:row>
    <x:row r="20">
      <x:c r="A20" s="337"/>
    </x:row>
    <x:row r="21">
      <x:c r="A21" s="337"/>
    </x:row>
    <x:row r="22">
      <x:c r="A22" s="337"/>
    </x:row>
    <x:row r="23">
      <x:c r="A23" s="337"/>
    </x:row>
    <x:row r="24">
      <x:c r="A24" s="337"/>
    </x:row>
    <x:row r="25">
      <x:c r="A25" s="337"/>
    </x:row>
    <x:row r="26">
      <x:c r="A26" s="337"/>
    </x:row>
    <x:row r="27">
      <x:c r="A27" s="337"/>
    </x:row>
    <x:row r="28">
      <x:c r="A28" s="337"/>
    </x:row>
    <x:row r="29">
      <x:c r="A29" s="337"/>
    </x:row>
    <x:row r="30">
      <x:c r="A30" s="337"/>
    </x:row>
    <x:row r="31">
      <x:c r="A31" s="337"/>
    </x:row>
    <x:row r="32">
      <x:c r="A32" s="337"/>
    </x:row>
    <x:row r="33">
      <x:c r="A33" s="337"/>
    </x:row>
    <x:row r="34">
      <x:c r="A34" s="337"/>
    </x:row>
    <x:row r="35">
      <x:c r="A35" s="337"/>
    </x:row>
    <x:row r="36">
      <x:c r="A36" s="337"/>
    </x:row>
    <x:row r="37">
      <x:c r="A37" s="337"/>
    </x:row>
    <x:row r="38">
      <x:c r="A38" s="337"/>
    </x:row>
    <x:row r="39">
      <x:c r="A39" s="337"/>
    </x:row>
    <x:row r="40">
      <x:c r="A40" s="337"/>
    </x:row>
    <x:row r="41">
      <x:c r="A41" s="337"/>
    </x:row>
    <x:row r="42">
      <x:c r="A42" s="337"/>
    </x:row>
    <x:row r="43">
      <x:c r="A43" s="337"/>
    </x:row>
    <x:row r="44">
      <x:c r="A44" s="337"/>
    </x:row>
    <x:row r="45">
      <x:c r="A45" s="337"/>
    </x:row>
    <x:row r="46">
      <x:c r="A46" s="337"/>
    </x:row>
    <x:row r="47">
      <x:c r="A47" s="337"/>
    </x:row>
    <x:row r="48">
      <x:c r="A48" s="337"/>
    </x:row>
    <x:row r="49">
      <x:c r="A49" s="337"/>
    </x:row>
    <x:row r="50">
      <x:c r="A50" s="337"/>
    </x:row>
    <x:row r="51">
      <x:c r="A51" s="337"/>
    </x:row>
    <x:row r="52">
      <x:c r="A52" s="337"/>
    </x:row>
    <x:row r="53">
      <x:c r="A53" s="337"/>
    </x:row>
    <x:row r="54">
      <x:c r="A54" s="337"/>
    </x:row>
    <x:row r="55">
      <x:c r="A55" s="337"/>
    </x:row>
    <x:row r="56">
      <x:c r="A56" s="337"/>
    </x:row>
    <x:row r="57">
      <x:c r="A57" s="337"/>
    </x:row>
    <x:row r="58">
      <x:c r="A58" s="337"/>
    </x:row>
    <x:row r="59">
      <x:c r="A59" s="337"/>
    </x:row>
    <x:row r="60">
      <x:c r="A60" s="337"/>
    </x:row>
    <x:row r="61">
      <x:c r="A61" s="337"/>
    </x:row>
    <x:row r="62">
      <x:c r="A62" s="337"/>
    </x:row>
    <x:row r="63">
      <x:c r="A63" s="337"/>
    </x:row>
    <x:row r="64">
      <x:c r="A64" s="337"/>
    </x:row>
    <x:row r="65">
      <x:c r="A65" s="337"/>
    </x:row>
    <x:row r="66">
      <x:c r="A66" s="337"/>
    </x:row>
    <x:row r="67">
      <x:c r="A67" s="337"/>
    </x:row>
    <x:row r="68">
      <x:c r="A68" s="337"/>
    </x:row>
    <x:row r="69">
      <x:c r="A69" s="337"/>
    </x:row>
    <x:row r="70">
      <x:c r="A70" s="337"/>
    </x:row>
    <x:row r="71">
      <x:c r="A71" s="337"/>
    </x:row>
    <x:row r="72">
      <x:c r="A72" s="337"/>
    </x:row>
    <x:row r="73">
      <x:c r="A73" s="337"/>
    </x:row>
    <x:row r="74">
      <x:c r="A74" s="337"/>
    </x:row>
    <x:row r="75">
      <x:c r="A75" s="337"/>
    </x:row>
    <x:row r="76">
      <x:c r="A76" s="337"/>
    </x:row>
    <x:row r="77">
      <x:c r="A77" s="337"/>
    </x:row>
    <x:row r="78">
      <x:c r="A78" s="337"/>
    </x:row>
    <x:row r="79">
      <x:c r="A79" s="337"/>
    </x:row>
    <x:row r="80">
      <x:c r="A80" s="337"/>
    </x:row>
    <x:row r="81">
      <x:c r="A81" s="337"/>
    </x:row>
    <x:row r="82">
      <x:c r="A82" s="337"/>
    </x:row>
    <x:row r="83">
      <x:c r="A83" s="337"/>
    </x:row>
    <x:row r="84">
      <x:c r="A84" s="337"/>
    </x:row>
    <x:row r="85">
      <x:c r="A85" s="337"/>
    </x:row>
    <x:row r="86">
      <x:c r="A86" s="337"/>
    </x:row>
    <x:row r="87">
      <x:c r="A87" s="337"/>
    </x:row>
    <x:row r="88">
      <x:c r="A88" s="337"/>
    </x:row>
    <x:row r="89">
      <x:c r="A89" s="337"/>
    </x:row>
    <x:row r="90">
      <x:c r="A90" s="337"/>
    </x:row>
    <x:row r="91">
      <x:c r="A91" s="337"/>
    </x:row>
    <x:row r="92">
      <x:c r="A92" s="337"/>
    </x:row>
    <x:row r="93">
      <x:c r="A93" s="337"/>
    </x:row>
    <x:row r="94">
      <x:c r="A94" s="337"/>
    </x:row>
    <x:row r="95">
      <x:c r="A95" s="337"/>
    </x:row>
    <x:row r="96">
      <x:c r="A96" s="337"/>
    </x:row>
    <x:row r="97">
      <x:c r="A97" s="337"/>
    </x:row>
    <x:row r="98">
      <x:c r="A98" s="337"/>
    </x:row>
    <x:row r="99">
      <x:c r="A99" s="337"/>
    </x:row>
    <x:row r="100">
      <x:c r="A100" s="337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921d203925d42f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8" hidden="0" customWidth="1"/>
    <x:col min="3" max="3" width="21" hidden="0" customWidth="1"/>
    <x:col min="4" max="4" width="18" hidden="0" customWidth="1"/>
    <x:col min="5" max="5" width="48" hidden="0" customWidth="1"/>
  </x:cols>
  <x:sheetData>
    <x:row r="1" ht="34" customHeight="1">
      <x:c r="A1" s="374" t="str">
        <x:v>Native Modular</x:v>
      </x:c>
      <x:c r="B1" s="5"/>
      <x:c r="C1" s="5"/>
      <x:c r="D1" s="5"/>
      <x:c r="E1" s="5"/>
    </x:row>
    <x:row r="2" ht="26" customHeight="1">
      <x:c r="A2" s="376" t="str">
        <x:v>Custo por call e por minuto. Inputs vêm do Provider_Catalog e Channel_Assumptions.</x:v>
      </x:c>
      <x:c r="B2" s="14"/>
      <x:c r="C2" s="14"/>
      <x:c r="D2" s="14"/>
      <x:c r="E2" s="14"/>
    </x:row>
    <x:row r="3" ht="28" customHeight="1">
      <x:c r="A3" s="332" t="str">
        <x:v>Componente</x:v>
      </x:c>
      <x:c r="B3" s="122" t="str">
        <x:v>Custo / Call USD</x:v>
      </x:c>
      <x:c r="C3" s="122" t="str">
        <x:v>Custo / Min Conectado</x:v>
      </x:c>
      <x:c r="D3" s="122" t="str">
        <x:v>Custo / Min Falado</x:v>
      </x:c>
      <x:c r="E3" s="123" t="str">
        <x:v>Base</x:v>
      </x:c>
    </x:row>
    <x:row r="4">
      <x:c r="A4" s="350" t="str">
        <x:v>Realtime speech-to-speech</x:v>
      </x:c>
      <x:c r="B4" s="248" t="n">
        <x:f>0</x:f>
        <x:v>0</x:v>
      </x:c>
      <x:c r="C4" s="248" t="n">
        <x:f>IFERROR(B4/Channel_Assumptions!$B$4,0)</x:f>
        <x:v>0</x:v>
      </x:c>
      <x:c r="D4" s="248" t="n">
        <x:f>IFERROR(B4/(Channel_Assumptions!$B$4*Channel_Assumptions!$C$4),0)</x:f>
        <x:v>0</x:v>
      </x:c>
      <x:c r="E4" s="90" t="str">
        <x:v>Por minuto falado</x:v>
      </x:c>
    </x:row>
    <x:row r="5">
      <x:c r="A5" s="351" t="str">
        <x:v>STT</x:v>
      </x:c>
      <x:c r="B5" s="249" t="n">
        <x:f>Channel_Assumptions!$B$4*Channel_Assumptions!$C$4*Provider_Catalog!$E$5</x:f>
        <x:v>0.12869999999999998</x:v>
      </x:c>
      <x:c r="C5" s="249" t="n">
        <x:f>IFERROR(B5/Channel_Assumptions!$B$4,0)</x:f>
        <x:v>0.0042899999999999995</x:v>
      </x:c>
      <x:c r="D5" s="249" t="n">
        <x:f>IFERROR(B5/(Channel_Assumptions!$B$4*Channel_Assumptions!$C$4),0)</x:f>
        <x:v>0.007799999999999999</x:v>
      </x:c>
      <x:c r="E5" s="143" t="str">
        <x:v>Por minuto falado</x:v>
      </x:c>
    </x:row>
    <x:row r="6">
      <x:c r="A6" s="351" t="str">
        <x:v>Fast text LLM</x:v>
      </x:c>
      <x:c r="B6" s="249" t="n">
        <x:f>Channel_Assumptions!$B$4*Channel_Assumptions!$C$4*Provider_Catalog!$E$7</x:f>
        <x:v>0.099</x:v>
      </x:c>
      <x:c r="C6" s="249" t="n">
        <x:f>IFERROR(B6/Channel_Assumptions!$B$4,0)</x:f>
        <x:v>0.0033</x:v>
      </x:c>
      <x:c r="D6" s="249" t="n">
        <x:f>IFERROR(B6/(Channel_Assumptions!$B$4*Channel_Assumptions!$C$4),0)</x:f>
        <x:v>0.006</x:v>
      </x:c>
      <x:c r="E6" s="143" t="str">
        <x:v>Premissa agregada por minuto falado</x:v>
      </x:c>
    </x:row>
    <x:row r="7">
      <x:c r="A7" s="351" t="str">
        <x:v>TTS</x:v>
      </x:c>
      <x:c r="B7" s="249" t="n">
        <x:f>Channel_Assumptions!$B$4*Channel_Assumptions!$C$4*Global_Assumptions!$B$10/1000*Provider_Catalog!$E$6</x:f>
        <x:v>0.70125</x:v>
      </x:c>
      <x:c r="C7" s="249" t="n">
        <x:f>IFERROR(B7/Channel_Assumptions!$B$4,0)</x:f>
        <x:v>0.023375</x:v>
      </x:c>
      <x:c r="D7" s="249" t="n">
        <x:f>IFERROR(B7/(Channel_Assumptions!$B$4*Channel_Assumptions!$C$4),0)</x:f>
        <x:v>0.0425</x:v>
      </x:c>
      <x:c r="E7" s="143" t="str">
        <x:v>Caracteres por minuto falado</x:v>
      </x:c>
    </x:row>
    <x:row r="8">
      <x:c r="A8" s="351" t="str">
        <x:v>LiveKit agent session</x:v>
      </x:c>
      <x:c r="B8" s="249" t="n">
        <x:f>Channel_Assumptions!$B$4*Provider_Catalog!$E$8</x:f>
        <x:v>0.3</x:v>
      </x:c>
      <x:c r="C8" s="249" t="n">
        <x:f>IFERROR(B8/Channel_Assumptions!$B$4,0)</x:f>
        <x:v>0.01</x:v>
      </x:c>
      <x:c r="D8" s="249" t="n">
        <x:f>IFERROR(B8/(Channel_Assumptions!$B$4*Channel_Assumptions!$C$4),0)</x:f>
        <x:v>0.01818181818181818</x:v>
      </x:c>
      <x:c r="E8" s="143" t="str">
        <x:v>Por minuto conectado</x:v>
      </x:c>
    </x:row>
    <x:row r="9">
      <x:c r="A9" s="351" t="str">
        <x:v>LiveKit media transport</x:v>
      </x:c>
      <x:c r="B9" s="249" t="n">
        <x:f>Channel_Assumptions!$B$4*Provider_Catalog!$E$9</x:f>
        <x:v>0.045</x:v>
      </x:c>
      <x:c r="C9" s="249" t="n">
        <x:f>IFERROR(B9/Channel_Assumptions!$B$4,0)</x:f>
        <x:v>0.0015</x:v>
      </x:c>
      <x:c r="D9" s="249" t="n">
        <x:f>IFERROR(B9/(Channel_Assumptions!$B$4*Channel_Assumptions!$C$4),0)</x:f>
        <x:v>0.002727272727272727</x:v>
      </x:c>
      <x:c r="E9" s="143" t="str">
        <x:v>Por minuto conectado</x:v>
      </x:c>
    </x:row>
    <x:row r="10">
      <x:c r="A10" s="351" t="str">
        <x:v>Realtime avatar</x:v>
      </x:c>
      <x:c r="B10" s="249" t="n">
        <x:f>0</x:f>
        <x:v>0</x:v>
      </x:c>
      <x:c r="C10" s="249" t="n">
        <x:f>IFERROR(B10/Channel_Assumptions!$B$4,0)</x:f>
        <x:v>0</x:v>
      </x:c>
      <x:c r="D10" s="249" t="n">
        <x:f>IFERROR(B10/(Channel_Assumptions!$B$4*Channel_Assumptions!$C$4),0)</x:f>
        <x:v>0</x:v>
      </x:c>
      <x:c r="E10" s="143" t="str">
        <x:v>Por minuto conectado com avatar ativo</x:v>
      </x:c>
    </x:row>
    <x:row r="11">
      <x:c r="A11" s="351" t="str">
        <x:v>External meeting bot</x:v>
      </x:c>
      <x:c r="B11" s="249" t="n">
        <x:f>0</x:f>
        <x:v>0</x:v>
      </x:c>
      <x:c r="C11" s="249" t="n">
        <x:f>IFERROR(B11/Channel_Assumptions!$B$4,0)</x:f>
        <x:v>0</x:v>
      </x:c>
      <x:c r="D11" s="249" t="n">
        <x:f>IFERROR(B11/(Channel_Assumptions!$B$4*Channel_Assumptions!$C$4),0)</x:f>
        <x:v>0</x:v>
      </x:c>
      <x:c r="E11" s="143" t="str">
        <x:v>Por minuto conectado com bot externo</x:v>
      </x:c>
    </x:row>
    <x:row r="12">
      <x:c r="A12" s="351" t="str">
        <x:v>Telnyx call control</x:v>
      </x:c>
      <x:c r="B12" s="249" t="n">
        <x:f>0</x:f>
        <x:v>0</x:v>
      </x:c>
      <x:c r="C12" s="249" t="n">
        <x:f>IFERROR(B12/Channel_Assumptions!$B$4,0)</x:f>
        <x:v>0</x:v>
      </x:c>
      <x:c r="D12" s="249" t="n">
        <x:f>IFERROR(B12/(Channel_Assumptions!$B$4*Channel_Assumptions!$C$4),0)</x:f>
        <x:v>0</x:v>
      </x:c>
      <x:c r="E12" s="143" t="str">
        <x:v>Por minuto conectado</x:v>
      </x:c>
    </x:row>
    <x:row r="13">
      <x:c r="A13" s="351" t="str">
        <x:v>Telnyx SIP media</x:v>
      </x:c>
      <x:c r="B13" s="249" t="n">
        <x:f>0</x:f>
        <x:v>0</x:v>
      </x:c>
      <x:c r="C13" s="249" t="n">
        <x:f>IFERROR(B13/Channel_Assumptions!$B$4,0)</x:f>
        <x:v>0</x:v>
      </x:c>
      <x:c r="D13" s="249" t="n">
        <x:f>IFERROR(B13/(Channel_Assumptions!$B$4*Channel_Assumptions!$C$4),0)</x:f>
        <x:v>0</x:v>
      </x:c>
      <x:c r="E13" s="143" t="str">
        <x:v>Por minuto conectado</x:v>
      </x:c>
    </x:row>
    <x:row r="14">
      <x:c r="A14" s="351" t="str">
        <x:v>Recording</x:v>
      </x:c>
      <x:c r="B14" s="249" t="n">
        <x:f>Channel_Assumptions!$B$4*Channel_Assumptions!$F$4*Provider_Catalog!$E$14</x:f>
        <x:v>0.15</x:v>
      </x:c>
      <x:c r="C14" s="249" t="n">
        <x:f>IFERROR(B14/Channel_Assumptions!$B$4,0)</x:f>
        <x:v>0.005</x:v>
      </x:c>
      <x:c r="D14" s="249" t="n">
        <x:f>IFERROR(B14/(Channel_Assumptions!$B$4*Channel_Assumptions!$C$4),0)</x:f>
        <x:v>0.00909090909090909</x:v>
      </x:c>
      <x:c r="E14" s="143" t="str">
        <x:v>Por minuto conectado conforme recording ratio</x:v>
      </x:c>
    </x:row>
    <x:row r="15">
      <x:c r="A15" s="351" t="str">
        <x:v>Observability</x:v>
      </x:c>
      <x:c r="B15" s="249" t="n">
        <x:f>Channel_Assumptions!$B$4*Provider_Catalog!$E$15</x:f>
        <x:v>0.09</x:v>
      </x:c>
      <x:c r="C15" s="249" t="n">
        <x:f>IFERROR(B15/Channel_Assumptions!$B$4,0)</x:f>
        <x:v>0.003</x:v>
      </x:c>
      <x:c r="D15" s="249" t="n">
        <x:f>IFERROR(B15/(Channel_Assumptions!$B$4*Channel_Assumptions!$C$4),0)</x:f>
        <x:v>0.005454545454545454</x:v>
      </x:c>
      <x:c r="E15" s="143" t="str">
        <x:v>Por minuto conectado</x:v>
      </x:c>
    </x:row>
    <x:row r="16">
      <x:c r="A16" s="351" t="str">
        <x:v>Realtime infrastructure</x:v>
      </x:c>
      <x:c r="B16" s="249" t="n">
        <x:f>Channel_Assumptions!$B$4*Provider_Catalog!$E$16</x:f>
        <x:v>0.24</x:v>
      </x:c>
      <x:c r="C16" s="249" t="n">
        <x:f>IFERROR(B16/Channel_Assumptions!$B$4,0)</x:f>
        <x:v>0.008</x:v>
      </x:c>
      <x:c r="D16" s="249" t="n">
        <x:f>IFERROR(B16/(Channel_Assumptions!$B$4*Channel_Assumptions!$C$4),0)</x:f>
        <x:v>0.014545454545454545</x:v>
      </x:c>
      <x:c r="E16" s="143" t="str">
        <x:v>Por minuto conectado</x:v>
      </x:c>
    </x:row>
    <x:row r="17">
      <x:c r="A17" s="352" t="str">
        <x:v>Operational support</x:v>
      </x:c>
      <x:c r="B17" s="250" t="n">
        <x:f>Channel_Assumptions!$B$4*Provider_Catalog!$E$17</x:f>
        <x:v>0.15</x:v>
      </x:c>
      <x:c r="C17" s="250" t="n">
        <x:f>IFERROR(B17/Channel_Assumptions!$B$4,0)</x:f>
        <x:v>0.005</x:v>
      </x:c>
      <x:c r="D17" s="250" t="n">
        <x:f>IFERROR(B17/(Channel_Assumptions!$B$4*Channel_Assumptions!$C$4),0)</x:f>
        <x:v>0.00909090909090909</x:v>
      </x:c>
      <x:c r="E17" s="93" t="str">
        <x:v>Por minuto conectado</x:v>
      </x:c>
    </x:row>
    <x:row r="18">
      <x:c r="A18" s="356" t="str">
        <x:v>Subtotal</x:v>
      </x:c>
      <x:c r="B18" s="251" t="n">
        <x:f>SUM(B4:B17)</x:f>
        <x:v>1.9039499999999998</x:v>
      </x:c>
      <x:c r="C18" s="251" t="str"/>
      <x:c r="D18" s="251" t="str"/>
      <x:c r="E18" s="223" t="str"/>
    </x:row>
    <x:row r="19">
      <x:c r="A19" s="351" t="str">
        <x:v>Reserve</x:v>
      </x:c>
      <x:c r="B19" s="249" t="n">
        <x:f>B18*Global_Assumptions!$B$15</x:f>
        <x:v>0.19039499999999998</x:v>
      </x:c>
      <x:c r="C19" s="249" t="str"/>
      <x:c r="D19" s="249" t="str"/>
      <x:c r="E19" s="143" t="str"/>
    </x:row>
    <x:row r="20">
      <x:c r="A20" s="357" t="str">
        <x:v>Total cost / call</x:v>
      </x:c>
      <x:c r="B20" s="252" t="n">
        <x:f>B18+B19</x:f>
        <x:v>2.0943449999999997</x:v>
      </x:c>
      <x:c r="C20" s="252" t="str"/>
      <x:c r="D20" s="252" t="str"/>
      <x:c r="E20" s="235" t="str"/>
    </x:row>
    <x:row r="21">
      <x:c r="A21" s="357" t="str">
        <x:v>Total cost / connected minute</x:v>
      </x:c>
      <x:c r="B21" s="252" t="n">
        <x:f>IFERROR(B20/Channel_Assumptions!$B$4,0)</x:f>
        <x:v>0.06981149999999998</x:v>
      </x:c>
      <x:c r="C21" s="252" t="str"/>
      <x:c r="D21" s="252" t="str"/>
      <x:c r="E21" s="235" t="str"/>
    </x:row>
    <x:row r="22">
      <x:c r="A22" s="357" t="str">
        <x:v>Total cost / spoken minute</x:v>
      </x:c>
      <x:c r="B22" s="252" t="n">
        <x:f>IFERROR(B20/(Channel_Assumptions!$B$4*Channel_Assumptions!$C$4),0)</x:f>
        <x:v>0.12693</x:v>
      </x:c>
      <x:c r="C22" s="252" t="str"/>
      <x:c r="D22" s="252" t="str"/>
      <x:c r="E22" s="235" t="str"/>
    </x:row>
    <x:row r="23">
      <x:c r="A23" s="358" t="str">
        <x:v>Total cost / call BRL</x:v>
      </x:c>
      <x:c r="B23" s="258" t="n">
        <x:f>B20*Global_Assumptions!$B$4</x:f>
        <x:v>11.309463</x:v>
      </x:c>
      <x:c r="C23" s="237" t="str"/>
      <x:c r="D23" s="237" t="str"/>
      <x:c r="E23" s="238" t="str"/>
    </x:row>
    <x:row r="24">
      <x:c r="A24" s="337"/>
    </x:row>
    <x:row r="25">
      <x:c r="A25" s="337"/>
    </x:row>
    <x:row r="26">
      <x:c r="A26" s="337"/>
    </x:row>
    <x:row r="27">
      <x:c r="A27" s="337"/>
    </x:row>
    <x:row r="28">
      <x:c r="A28" s="337"/>
    </x:row>
    <x:row r="29">
      <x:c r="A29" s="337"/>
    </x:row>
    <x:row r="30">
      <x:c r="A30" s="337"/>
    </x:row>
    <x:row r="31">
      <x:c r="A31" s="337"/>
    </x:row>
    <x:row r="32">
      <x:c r="A32" s="337"/>
    </x:row>
    <x:row r="33">
      <x:c r="A33" s="337"/>
    </x:row>
    <x:row r="34">
      <x:c r="A34" s="337"/>
    </x:row>
    <x:row r="35">
      <x:c r="A35" s="337"/>
    </x:row>
    <x:row r="36">
      <x:c r="A36" s="337"/>
    </x:row>
    <x:row r="37">
      <x:c r="A37" s="337"/>
    </x:row>
    <x:row r="38">
      <x:c r="A38" s="337"/>
    </x:row>
    <x:row r="39">
      <x:c r="A39" s="337"/>
    </x:row>
    <x:row r="40">
      <x:c r="A40" s="337"/>
    </x:row>
    <x:row r="41">
      <x:c r="A41" s="337"/>
    </x:row>
    <x:row r="42">
      <x:c r="A42" s="337"/>
    </x:row>
    <x:row r="43">
      <x:c r="A43" s="337"/>
    </x:row>
    <x:row r="44">
      <x:c r="A44" s="337"/>
    </x:row>
    <x:row r="45">
      <x:c r="A45" s="337"/>
    </x:row>
    <x:row r="46">
      <x:c r="A46" s="337"/>
    </x:row>
    <x:row r="47">
      <x:c r="A47" s="337"/>
    </x:row>
    <x:row r="48">
      <x:c r="A48" s="337"/>
    </x:row>
    <x:row r="49">
      <x:c r="A49" s="337"/>
    </x:row>
    <x:row r="50">
      <x:c r="A50" s="337"/>
    </x:row>
    <x:row r="51">
      <x:c r="A51" s="337"/>
    </x:row>
    <x:row r="52">
      <x:c r="A52" s="337"/>
    </x:row>
    <x:row r="53">
      <x:c r="A53" s="337"/>
    </x:row>
    <x:row r="54">
      <x:c r="A54" s="337"/>
    </x:row>
    <x:row r="55">
      <x:c r="A55" s="337"/>
    </x:row>
    <x:row r="56">
      <x:c r="A56" s="337"/>
    </x:row>
    <x:row r="57">
      <x:c r="A57" s="337"/>
    </x:row>
    <x:row r="58">
      <x:c r="A58" s="337"/>
    </x:row>
    <x:row r="59">
      <x:c r="A59" s="337"/>
    </x:row>
    <x:row r="60">
      <x:c r="A60" s="337"/>
    </x:row>
    <x:row r="61">
      <x:c r="A61" s="337"/>
    </x:row>
    <x:row r="62">
      <x:c r="A62" s="337"/>
    </x:row>
    <x:row r="63">
      <x:c r="A63" s="337"/>
    </x:row>
    <x:row r="64">
      <x:c r="A64" s="337"/>
    </x:row>
    <x:row r="65">
      <x:c r="A65" s="337"/>
    </x:row>
    <x:row r="66">
      <x:c r="A66" s="337"/>
    </x:row>
    <x:row r="67">
      <x:c r="A67" s="337"/>
    </x:row>
    <x:row r="68">
      <x:c r="A68" s="337"/>
    </x:row>
    <x:row r="69">
      <x:c r="A69" s="337"/>
    </x:row>
    <x:row r="70">
      <x:c r="A70" s="337"/>
    </x:row>
    <x:row r="71">
      <x:c r="A71" s="337"/>
    </x:row>
    <x:row r="72">
      <x:c r="A72" s="337"/>
    </x:row>
    <x:row r="73">
      <x:c r="A73" s="337"/>
    </x:row>
    <x:row r="74">
      <x:c r="A74" s="337"/>
    </x:row>
    <x:row r="75">
      <x:c r="A75" s="337"/>
    </x:row>
    <x:row r="76">
      <x:c r="A76" s="337"/>
    </x:row>
    <x:row r="77">
      <x:c r="A77" s="337"/>
    </x:row>
    <x:row r="78">
      <x:c r="A78" s="337"/>
    </x:row>
    <x:row r="79">
      <x:c r="A79" s="337"/>
    </x:row>
    <x:row r="80">
      <x:c r="A80" s="337"/>
    </x:row>
    <x:row r="81">
      <x:c r="A81" s="337"/>
    </x:row>
    <x:row r="82">
      <x:c r="A82" s="337"/>
    </x:row>
    <x:row r="83">
      <x:c r="A83" s="337"/>
    </x:row>
    <x:row r="84">
      <x:c r="A84" s="337"/>
    </x:row>
    <x:row r="85">
      <x:c r="A85" s="337"/>
    </x:row>
    <x:row r="86">
      <x:c r="A86" s="337"/>
    </x:row>
    <x:row r="87">
      <x:c r="A87" s="337"/>
    </x:row>
    <x:row r="88">
      <x:c r="A88" s="337"/>
    </x:row>
    <x:row r="89">
      <x:c r="A89" s="337"/>
    </x:row>
    <x:row r="90">
      <x:c r="A90" s="337"/>
    </x:row>
    <x:row r="91">
      <x:c r="A91" s="337"/>
    </x:row>
    <x:row r="92">
      <x:c r="A92" s="337"/>
    </x:row>
    <x:row r="93">
      <x:c r="A93" s="337"/>
    </x:row>
    <x:row r="94">
      <x:c r="A94" s="337"/>
    </x:row>
    <x:row r="95">
      <x:c r="A95" s="337"/>
    </x:row>
    <x:row r="96">
      <x:c r="A96" s="337"/>
    </x:row>
    <x:row r="97">
      <x:c r="A97" s="337"/>
    </x:row>
    <x:row r="98">
      <x:c r="A98" s="337"/>
    </x:row>
    <x:row r="99">
      <x:c r="A99" s="337"/>
    </x:row>
    <x:row r="100">
      <x:c r="A100" s="337"/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8" hidden="0" customWidth="1"/>
    <x:col min="3" max="3" width="21" hidden="0" customWidth="1"/>
    <x:col min="4" max="4" width="18" hidden="0" customWidth="1"/>
    <x:col min="5" max="5" width="48" hidden="0" customWidth="1"/>
  </x:cols>
  <x:sheetData>
    <x:row r="1" ht="34" customHeight="1">
      <x:c r="A1" s="374" t="str">
        <x:v>Native S2S</x:v>
      </x:c>
      <x:c r="B1" s="5"/>
      <x:c r="C1" s="5"/>
      <x:c r="D1" s="5"/>
      <x:c r="E1" s="5"/>
    </x:row>
    <x:row r="2" ht="26" customHeight="1">
      <x:c r="A2" s="376" t="str">
        <x:v>Custo por call e por minuto. Inputs vêm do Provider_Catalog e Channel_Assumptions.</x:v>
      </x:c>
      <x:c r="B2" s="14"/>
      <x:c r="C2" s="14"/>
      <x:c r="D2" s="14"/>
      <x:c r="E2" s="14"/>
    </x:row>
    <x:row r="3" ht="28" customHeight="1">
      <x:c r="A3" s="332" t="str">
        <x:v>Componente</x:v>
      </x:c>
      <x:c r="B3" s="122" t="str">
        <x:v>Custo / Call USD</x:v>
      </x:c>
      <x:c r="C3" s="122" t="str">
        <x:v>Custo / Min Conectado</x:v>
      </x:c>
      <x:c r="D3" s="122" t="str">
        <x:v>Custo / Min Falado</x:v>
      </x:c>
      <x:c r="E3" s="123" t="str">
        <x:v>Base</x:v>
      </x:c>
    </x:row>
    <x:row r="4">
      <x:c r="A4" s="350" t="str">
        <x:v>Realtime speech-to-speech</x:v>
      </x:c>
      <x:c r="B4" s="248" t="n">
        <x:f>Channel_Assumptions!$B$5*Channel_Assumptions!$C$5*Provider_Catalog!$E$4</x:f>
        <x:v>1.1154</x:v>
      </x:c>
      <x:c r="C4" s="248" t="n">
        <x:f>IFERROR(B4/Channel_Assumptions!$B$5,0)</x:f>
        <x:v>0.03718</x:v>
      </x:c>
      <x:c r="D4" s="248" t="n">
        <x:f>IFERROR(B4/(Channel_Assumptions!$B$5*Channel_Assumptions!$C$5),0)</x:f>
        <x:v>0.0676</x:v>
      </x:c>
      <x:c r="E4" s="90" t="str">
        <x:v>Por minuto falado</x:v>
      </x:c>
    </x:row>
    <x:row r="5">
      <x:c r="A5" s="351" t="str">
        <x:v>STT</x:v>
      </x:c>
      <x:c r="B5" s="249" t="n">
        <x:f>0</x:f>
        <x:v>0</x:v>
      </x:c>
      <x:c r="C5" s="249" t="n">
        <x:f>IFERROR(B5/Channel_Assumptions!$B$5,0)</x:f>
        <x:v>0</x:v>
      </x:c>
      <x:c r="D5" s="249" t="n">
        <x:f>IFERROR(B5/(Channel_Assumptions!$B$5*Channel_Assumptions!$C$5),0)</x:f>
        <x:v>0</x:v>
      </x:c>
      <x:c r="E5" s="143" t="str">
        <x:v>Por minuto falado</x:v>
      </x:c>
    </x:row>
    <x:row r="6">
      <x:c r="A6" s="351" t="str">
        <x:v>Fast text LLM</x:v>
      </x:c>
      <x:c r="B6" s="249" t="n">
        <x:f>0</x:f>
        <x:v>0</x:v>
      </x:c>
      <x:c r="C6" s="249" t="n">
        <x:f>IFERROR(B6/Channel_Assumptions!$B$5,0)</x:f>
        <x:v>0</x:v>
      </x:c>
      <x:c r="D6" s="249" t="n">
        <x:f>IFERROR(B6/(Channel_Assumptions!$B$5*Channel_Assumptions!$C$5),0)</x:f>
        <x:v>0</x:v>
      </x:c>
      <x:c r="E6" s="143" t="str">
        <x:v>Premissa agregada por minuto falado</x:v>
      </x:c>
    </x:row>
    <x:row r="7">
      <x:c r="A7" s="351" t="str">
        <x:v>TTS</x:v>
      </x:c>
      <x:c r="B7" s="249" t="n">
        <x:f>0</x:f>
        <x:v>0</x:v>
      </x:c>
      <x:c r="C7" s="249" t="n">
        <x:f>IFERROR(B7/Channel_Assumptions!$B$5,0)</x:f>
        <x:v>0</x:v>
      </x:c>
      <x:c r="D7" s="249" t="n">
        <x:f>IFERROR(B7/(Channel_Assumptions!$B$5*Channel_Assumptions!$C$5),0)</x:f>
        <x:v>0</x:v>
      </x:c>
      <x:c r="E7" s="143" t="str">
        <x:v>Caracteres por minuto falado</x:v>
      </x:c>
    </x:row>
    <x:row r="8">
      <x:c r="A8" s="351" t="str">
        <x:v>LiveKit agent session</x:v>
      </x:c>
      <x:c r="B8" s="249" t="n">
        <x:f>Channel_Assumptions!$B$5*Provider_Catalog!$E$8</x:f>
        <x:v>0.3</x:v>
      </x:c>
      <x:c r="C8" s="249" t="n">
        <x:f>IFERROR(B8/Channel_Assumptions!$B$5,0)</x:f>
        <x:v>0.01</x:v>
      </x:c>
      <x:c r="D8" s="249" t="n">
        <x:f>IFERROR(B8/(Channel_Assumptions!$B$5*Channel_Assumptions!$C$5),0)</x:f>
        <x:v>0.01818181818181818</x:v>
      </x:c>
      <x:c r="E8" s="143" t="str">
        <x:v>Por minuto conectado</x:v>
      </x:c>
    </x:row>
    <x:row r="9">
      <x:c r="A9" s="351" t="str">
        <x:v>LiveKit media transport</x:v>
      </x:c>
      <x:c r="B9" s="249" t="n">
        <x:f>Channel_Assumptions!$B$5*Provider_Catalog!$E$9</x:f>
        <x:v>0.045</x:v>
      </x:c>
      <x:c r="C9" s="249" t="n">
        <x:f>IFERROR(B9/Channel_Assumptions!$B$5,0)</x:f>
        <x:v>0.0015</x:v>
      </x:c>
      <x:c r="D9" s="249" t="n">
        <x:f>IFERROR(B9/(Channel_Assumptions!$B$5*Channel_Assumptions!$C$5),0)</x:f>
        <x:v>0.002727272727272727</x:v>
      </x:c>
      <x:c r="E9" s="143" t="str">
        <x:v>Por minuto conectado</x:v>
      </x:c>
    </x:row>
    <x:row r="10">
      <x:c r="A10" s="351" t="str">
        <x:v>Realtime avatar</x:v>
      </x:c>
      <x:c r="B10" s="249" t="n">
        <x:f>0</x:f>
        <x:v>0</x:v>
      </x:c>
      <x:c r="C10" s="249" t="n">
        <x:f>IFERROR(B10/Channel_Assumptions!$B$5,0)</x:f>
        <x:v>0</x:v>
      </x:c>
      <x:c r="D10" s="249" t="n">
        <x:f>IFERROR(B10/(Channel_Assumptions!$B$5*Channel_Assumptions!$C$5),0)</x:f>
        <x:v>0</x:v>
      </x:c>
      <x:c r="E10" s="143" t="str">
        <x:v>Por minuto conectado com avatar ativo</x:v>
      </x:c>
    </x:row>
    <x:row r="11">
      <x:c r="A11" s="351" t="str">
        <x:v>External meeting bot</x:v>
      </x:c>
      <x:c r="B11" s="249" t="n">
        <x:f>0</x:f>
        <x:v>0</x:v>
      </x:c>
      <x:c r="C11" s="249" t="n">
        <x:f>IFERROR(B11/Channel_Assumptions!$B$5,0)</x:f>
        <x:v>0</x:v>
      </x:c>
      <x:c r="D11" s="249" t="n">
        <x:f>IFERROR(B11/(Channel_Assumptions!$B$5*Channel_Assumptions!$C$5),0)</x:f>
        <x:v>0</x:v>
      </x:c>
      <x:c r="E11" s="143" t="str">
        <x:v>Por minuto conectado com bot externo</x:v>
      </x:c>
    </x:row>
    <x:row r="12">
      <x:c r="A12" s="351" t="str">
        <x:v>Telnyx call control</x:v>
      </x:c>
      <x:c r="B12" s="249" t="n">
        <x:f>0</x:f>
        <x:v>0</x:v>
      </x:c>
      <x:c r="C12" s="249" t="n">
        <x:f>IFERROR(B12/Channel_Assumptions!$B$5,0)</x:f>
        <x:v>0</x:v>
      </x:c>
      <x:c r="D12" s="249" t="n">
        <x:f>IFERROR(B12/(Channel_Assumptions!$B$5*Channel_Assumptions!$C$5),0)</x:f>
        <x:v>0</x:v>
      </x:c>
      <x:c r="E12" s="143" t="str">
        <x:v>Por minuto conectado</x:v>
      </x:c>
    </x:row>
    <x:row r="13">
      <x:c r="A13" s="351" t="str">
        <x:v>Telnyx SIP media</x:v>
      </x:c>
      <x:c r="B13" s="249" t="n">
        <x:f>0</x:f>
        <x:v>0</x:v>
      </x:c>
      <x:c r="C13" s="249" t="n">
        <x:f>IFERROR(B13/Channel_Assumptions!$B$5,0)</x:f>
        <x:v>0</x:v>
      </x:c>
      <x:c r="D13" s="249" t="n">
        <x:f>IFERROR(B13/(Channel_Assumptions!$B$5*Channel_Assumptions!$C$5),0)</x:f>
        <x:v>0</x:v>
      </x:c>
      <x:c r="E13" s="143" t="str">
        <x:v>Por minuto conectado</x:v>
      </x:c>
    </x:row>
    <x:row r="14">
      <x:c r="A14" s="351" t="str">
        <x:v>Recording</x:v>
      </x:c>
      <x:c r="B14" s="249" t="n">
        <x:f>Channel_Assumptions!$B$5*Channel_Assumptions!$F$5*Provider_Catalog!$E$14</x:f>
        <x:v>0.15</x:v>
      </x:c>
      <x:c r="C14" s="249" t="n">
        <x:f>IFERROR(B14/Channel_Assumptions!$B$5,0)</x:f>
        <x:v>0.005</x:v>
      </x:c>
      <x:c r="D14" s="249" t="n">
        <x:f>IFERROR(B14/(Channel_Assumptions!$B$5*Channel_Assumptions!$C$5),0)</x:f>
        <x:v>0.00909090909090909</x:v>
      </x:c>
      <x:c r="E14" s="143" t="str">
        <x:v>Por minuto conectado conforme recording ratio</x:v>
      </x:c>
    </x:row>
    <x:row r="15">
      <x:c r="A15" s="351" t="str">
        <x:v>Observability</x:v>
      </x:c>
      <x:c r="B15" s="249" t="n">
        <x:f>Channel_Assumptions!$B$5*Provider_Catalog!$E$15</x:f>
        <x:v>0.09</x:v>
      </x:c>
      <x:c r="C15" s="249" t="n">
        <x:f>IFERROR(B15/Channel_Assumptions!$B$5,0)</x:f>
        <x:v>0.003</x:v>
      </x:c>
      <x:c r="D15" s="249" t="n">
        <x:f>IFERROR(B15/(Channel_Assumptions!$B$5*Channel_Assumptions!$C$5),0)</x:f>
        <x:v>0.005454545454545454</x:v>
      </x:c>
      <x:c r="E15" s="143" t="str">
        <x:v>Por minuto conectado</x:v>
      </x:c>
    </x:row>
    <x:row r="16">
      <x:c r="A16" s="351" t="str">
        <x:v>Realtime infrastructure</x:v>
      </x:c>
      <x:c r="B16" s="249" t="n">
        <x:f>Channel_Assumptions!$B$5*Provider_Catalog!$E$16</x:f>
        <x:v>0.24</x:v>
      </x:c>
      <x:c r="C16" s="249" t="n">
        <x:f>IFERROR(B16/Channel_Assumptions!$B$5,0)</x:f>
        <x:v>0.008</x:v>
      </x:c>
      <x:c r="D16" s="249" t="n">
        <x:f>IFERROR(B16/(Channel_Assumptions!$B$5*Channel_Assumptions!$C$5),0)</x:f>
        <x:v>0.014545454545454545</x:v>
      </x:c>
      <x:c r="E16" s="143" t="str">
        <x:v>Por minuto conectado</x:v>
      </x:c>
    </x:row>
    <x:row r="17">
      <x:c r="A17" s="352" t="str">
        <x:v>Operational support</x:v>
      </x:c>
      <x:c r="B17" s="250" t="n">
        <x:f>Channel_Assumptions!$B$5*Provider_Catalog!$E$17</x:f>
        <x:v>0.15</x:v>
      </x:c>
      <x:c r="C17" s="250" t="n">
        <x:f>IFERROR(B17/Channel_Assumptions!$B$5,0)</x:f>
        <x:v>0.005</x:v>
      </x:c>
      <x:c r="D17" s="250" t="n">
        <x:f>IFERROR(B17/(Channel_Assumptions!$B$5*Channel_Assumptions!$C$5),0)</x:f>
        <x:v>0.00909090909090909</x:v>
      </x:c>
      <x:c r="E17" s="93" t="str">
        <x:v>Por minuto conectado</x:v>
      </x:c>
    </x:row>
    <x:row r="18">
      <x:c r="A18" s="356" t="str">
        <x:v>Subtotal</x:v>
      </x:c>
      <x:c r="B18" s="251" t="n">
        <x:f>SUM(B4:B17)</x:f>
        <x:v>2.0904</x:v>
      </x:c>
      <x:c r="C18" s="251" t="str"/>
      <x:c r="D18" s="251" t="str"/>
      <x:c r="E18" s="223" t="str"/>
    </x:row>
    <x:row r="19">
      <x:c r="A19" s="351" t="str">
        <x:v>Reserve</x:v>
      </x:c>
      <x:c r="B19" s="249" t="n">
        <x:f>B18*Global_Assumptions!$B$15</x:f>
        <x:v>0.20904</x:v>
      </x:c>
      <x:c r="C19" s="249" t="str"/>
      <x:c r="D19" s="249" t="str"/>
      <x:c r="E19" s="143" t="str"/>
    </x:row>
    <x:row r="20">
      <x:c r="A20" s="357" t="str">
        <x:v>Total cost / call</x:v>
      </x:c>
      <x:c r="B20" s="252" t="n">
        <x:f>B18+B19</x:f>
        <x:v>2.2994399999999997</x:v>
      </x:c>
      <x:c r="C20" s="252" t="str"/>
      <x:c r="D20" s="252" t="str"/>
      <x:c r="E20" s="235" t="str"/>
    </x:row>
    <x:row r="21">
      <x:c r="A21" s="357" t="str">
        <x:v>Total cost / connected minute</x:v>
      </x:c>
      <x:c r="B21" s="252" t="n">
        <x:f>IFERROR(B20/Channel_Assumptions!$B$5,0)</x:f>
        <x:v>0.076648</x:v>
      </x:c>
      <x:c r="C21" s="252" t="str"/>
      <x:c r="D21" s="252" t="str"/>
      <x:c r="E21" s="235" t="str"/>
    </x:row>
    <x:row r="22">
      <x:c r="A22" s="357" t="str">
        <x:v>Total cost / spoken minute</x:v>
      </x:c>
      <x:c r="B22" s="252" t="n">
        <x:f>IFERROR(B20/(Channel_Assumptions!$B$5*Channel_Assumptions!$C$5),0)</x:f>
        <x:v>0.13935999999999998</x:v>
      </x:c>
      <x:c r="C22" s="252" t="str"/>
      <x:c r="D22" s="252" t="str"/>
      <x:c r="E22" s="235" t="str"/>
    </x:row>
    <x:row r="23">
      <x:c r="A23" s="358" t="str">
        <x:v>Total cost / call BRL</x:v>
      </x:c>
      <x:c r="B23" s="258" t="n">
        <x:f>B20*Global_Assumptions!$B$4</x:f>
        <x:v>12.416976</x:v>
      </x:c>
      <x:c r="C23" s="237" t="str"/>
      <x:c r="D23" s="237" t="str"/>
      <x:c r="E23" s="238" t="str"/>
    </x:row>
    <x:row r="24">
      <x:c r="A24" s="337"/>
    </x:row>
    <x:row r="25">
      <x:c r="A25" s="337"/>
    </x:row>
    <x:row r="26">
      <x:c r="A26" s="337"/>
    </x:row>
    <x:row r="27">
      <x:c r="A27" s="337"/>
    </x:row>
    <x:row r="28">
      <x:c r="A28" s="337"/>
    </x:row>
    <x:row r="29">
      <x:c r="A29" s="337"/>
    </x:row>
    <x:row r="30">
      <x:c r="A30" s="337"/>
    </x:row>
    <x:row r="31">
      <x:c r="A31" s="337"/>
    </x:row>
    <x:row r="32">
      <x:c r="A32" s="337"/>
    </x:row>
    <x:row r="33">
      <x:c r="A33" s="337"/>
    </x:row>
    <x:row r="34">
      <x:c r="A34" s="337"/>
    </x:row>
    <x:row r="35">
      <x:c r="A35" s="337"/>
    </x:row>
    <x:row r="36">
      <x:c r="A36" s="337"/>
    </x:row>
    <x:row r="37">
      <x:c r="A37" s="337"/>
    </x:row>
    <x:row r="38">
      <x:c r="A38" s="337"/>
    </x:row>
    <x:row r="39">
      <x:c r="A39" s="337"/>
    </x:row>
    <x:row r="40">
      <x:c r="A40" s="337"/>
    </x:row>
    <x:row r="41">
      <x:c r="A41" s="337"/>
    </x:row>
    <x:row r="42">
      <x:c r="A42" s="337"/>
    </x:row>
    <x:row r="43">
      <x:c r="A43" s="337"/>
    </x:row>
    <x:row r="44">
      <x:c r="A44" s="337"/>
    </x:row>
    <x:row r="45">
      <x:c r="A45" s="337"/>
    </x:row>
    <x:row r="46">
      <x:c r="A46" s="337"/>
    </x:row>
    <x:row r="47">
      <x:c r="A47" s="337"/>
    </x:row>
    <x:row r="48">
      <x:c r="A48" s="337"/>
    </x:row>
    <x:row r="49">
      <x:c r="A49" s="337"/>
    </x:row>
    <x:row r="50">
      <x:c r="A50" s="337"/>
    </x:row>
    <x:row r="51">
      <x:c r="A51" s="337"/>
    </x:row>
    <x:row r="52">
      <x:c r="A52" s="337"/>
    </x:row>
    <x:row r="53">
      <x:c r="A53" s="337"/>
    </x:row>
    <x:row r="54">
      <x:c r="A54" s="337"/>
    </x:row>
    <x:row r="55">
      <x:c r="A55" s="337"/>
    </x:row>
    <x:row r="56">
      <x:c r="A56" s="337"/>
    </x:row>
    <x:row r="57">
      <x:c r="A57" s="337"/>
    </x:row>
    <x:row r="58">
      <x:c r="A58" s="337"/>
    </x:row>
    <x:row r="59">
      <x:c r="A59" s="337"/>
    </x:row>
    <x:row r="60">
      <x:c r="A60" s="337"/>
    </x:row>
    <x:row r="61">
      <x:c r="A61" s="337"/>
    </x:row>
    <x:row r="62">
      <x:c r="A62" s="337"/>
    </x:row>
    <x:row r="63">
      <x:c r="A63" s="337"/>
    </x:row>
    <x:row r="64">
      <x:c r="A64" s="337"/>
    </x:row>
    <x:row r="65">
      <x:c r="A65" s="337"/>
    </x:row>
    <x:row r="66">
      <x:c r="A66" s="337"/>
    </x:row>
    <x:row r="67">
      <x:c r="A67" s="337"/>
    </x:row>
    <x:row r="68">
      <x:c r="A68" s="337"/>
    </x:row>
    <x:row r="69">
      <x:c r="A69" s="337"/>
    </x:row>
    <x:row r="70">
      <x:c r="A70" s="337"/>
    </x:row>
    <x:row r="71">
      <x:c r="A71" s="337"/>
    </x:row>
    <x:row r="72">
      <x:c r="A72" s="337"/>
    </x:row>
    <x:row r="73">
      <x:c r="A73" s="337"/>
    </x:row>
    <x:row r="74">
      <x:c r="A74" s="337"/>
    </x:row>
    <x:row r="75">
      <x:c r="A75" s="337"/>
    </x:row>
    <x:row r="76">
      <x:c r="A76" s="337"/>
    </x:row>
    <x:row r="77">
      <x:c r="A77" s="337"/>
    </x:row>
    <x:row r="78">
      <x:c r="A78" s="337"/>
    </x:row>
    <x:row r="79">
      <x:c r="A79" s="337"/>
    </x:row>
    <x:row r="80">
      <x:c r="A80" s="337"/>
    </x:row>
    <x:row r="81">
      <x:c r="A81" s="337"/>
    </x:row>
    <x:row r="82">
      <x:c r="A82" s="337"/>
    </x:row>
    <x:row r="83">
      <x:c r="A83" s="337"/>
    </x:row>
    <x:row r="84">
      <x:c r="A84" s="337"/>
    </x:row>
    <x:row r="85">
      <x:c r="A85" s="337"/>
    </x:row>
    <x:row r="86">
      <x:c r="A86" s="337"/>
    </x:row>
    <x:row r="87">
      <x:c r="A87" s="337"/>
    </x:row>
    <x:row r="88">
      <x:c r="A88" s="337"/>
    </x:row>
    <x:row r="89">
      <x:c r="A89" s="337"/>
    </x:row>
    <x:row r="90">
      <x:c r="A90" s="337"/>
    </x:row>
    <x:row r="91">
      <x:c r="A91" s="337"/>
    </x:row>
    <x:row r="92">
      <x:c r="A92" s="337"/>
    </x:row>
    <x:row r="93">
      <x:c r="A93" s="337"/>
    </x:row>
    <x:row r="94">
      <x:c r="A94" s="337"/>
    </x:row>
    <x:row r="95">
      <x:c r="A95" s="337"/>
    </x:row>
    <x:row r="96">
      <x:c r="A96" s="337"/>
    </x:row>
    <x:row r="97">
      <x:c r="A97" s="337"/>
    </x:row>
    <x:row r="98">
      <x:c r="A98" s="337"/>
    </x:row>
    <x:row r="99">
      <x:c r="A99" s="337"/>
    </x:row>
    <x:row r="100">
      <x:c r="A100" s="337"/>
    </x:row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8" hidden="0" customWidth="1"/>
    <x:col min="3" max="3" width="21" hidden="0" customWidth="1"/>
    <x:col min="4" max="4" width="18" hidden="0" customWidth="1"/>
    <x:col min="5" max="5" width="48" hidden="0" customWidth="1"/>
  </x:cols>
  <x:sheetData>
    <x:row r="1" ht="34" customHeight="1">
      <x:c r="A1" s="374" t="str">
        <x:v>Native Video</x:v>
      </x:c>
      <x:c r="B1" s="5"/>
      <x:c r="C1" s="5"/>
      <x:c r="D1" s="5"/>
      <x:c r="E1" s="5"/>
    </x:row>
    <x:row r="2" ht="26" customHeight="1">
      <x:c r="A2" s="376" t="str">
        <x:v>Custo por call e por minuto. Inputs vêm do Provider_Catalog e Channel_Assumptions.</x:v>
      </x:c>
      <x:c r="B2" s="14"/>
      <x:c r="C2" s="14"/>
      <x:c r="D2" s="14"/>
      <x:c r="E2" s="14"/>
    </x:row>
    <x:row r="3" ht="28" customHeight="1">
      <x:c r="A3" s="332" t="str">
        <x:v>Componente</x:v>
      </x:c>
      <x:c r="B3" s="122" t="str">
        <x:v>Custo / Call USD</x:v>
      </x:c>
      <x:c r="C3" s="122" t="str">
        <x:v>Custo / Min Conectado</x:v>
      </x:c>
      <x:c r="D3" s="122" t="str">
        <x:v>Custo / Min Falado</x:v>
      </x:c>
      <x:c r="E3" s="123" t="str">
        <x:v>Base</x:v>
      </x:c>
    </x:row>
    <x:row r="4">
      <x:c r="A4" s="350" t="str">
        <x:v>Realtime speech-to-speech</x:v>
      </x:c>
      <x:c r="B4" s="248" t="n">
        <x:f>Channel_Assumptions!$B$6*Channel_Assumptions!$C$6*Provider_Catalog!$E$4</x:f>
        <x:v>1.1154</x:v>
      </x:c>
      <x:c r="C4" s="248" t="n">
        <x:f>IFERROR(B4/Channel_Assumptions!$B$6,0)</x:f>
        <x:v>0.03718</x:v>
      </x:c>
      <x:c r="D4" s="248" t="n">
        <x:f>IFERROR(B4/(Channel_Assumptions!$B$6*Channel_Assumptions!$C$6),0)</x:f>
        <x:v>0.0676</x:v>
      </x:c>
      <x:c r="E4" s="90" t="str">
        <x:v>Por minuto falado</x:v>
      </x:c>
    </x:row>
    <x:row r="5">
      <x:c r="A5" s="351" t="str">
        <x:v>STT</x:v>
      </x:c>
      <x:c r="B5" s="249" t="n">
        <x:f>0</x:f>
        <x:v>0</x:v>
      </x:c>
      <x:c r="C5" s="249" t="n">
        <x:f>IFERROR(B5/Channel_Assumptions!$B$6,0)</x:f>
        <x:v>0</x:v>
      </x:c>
      <x:c r="D5" s="249" t="n">
        <x:f>IFERROR(B5/(Channel_Assumptions!$B$6*Channel_Assumptions!$C$6),0)</x:f>
        <x:v>0</x:v>
      </x:c>
      <x:c r="E5" s="143" t="str">
        <x:v>Por minuto falado</x:v>
      </x:c>
    </x:row>
    <x:row r="6">
      <x:c r="A6" s="351" t="str">
        <x:v>Fast text LLM</x:v>
      </x:c>
      <x:c r="B6" s="249" t="n">
        <x:f>0</x:f>
        <x:v>0</x:v>
      </x:c>
      <x:c r="C6" s="249" t="n">
        <x:f>IFERROR(B6/Channel_Assumptions!$B$6,0)</x:f>
        <x:v>0</x:v>
      </x:c>
      <x:c r="D6" s="249" t="n">
        <x:f>IFERROR(B6/(Channel_Assumptions!$B$6*Channel_Assumptions!$C$6),0)</x:f>
        <x:v>0</x:v>
      </x:c>
      <x:c r="E6" s="143" t="str">
        <x:v>Premissa agregada por minuto falado</x:v>
      </x:c>
    </x:row>
    <x:row r="7">
      <x:c r="A7" s="351" t="str">
        <x:v>TTS</x:v>
      </x:c>
      <x:c r="B7" s="249" t="n">
        <x:f>0</x:f>
        <x:v>0</x:v>
      </x:c>
      <x:c r="C7" s="249" t="n">
        <x:f>IFERROR(B7/Channel_Assumptions!$B$6,0)</x:f>
        <x:v>0</x:v>
      </x:c>
      <x:c r="D7" s="249" t="n">
        <x:f>IFERROR(B7/(Channel_Assumptions!$B$6*Channel_Assumptions!$C$6),0)</x:f>
        <x:v>0</x:v>
      </x:c>
      <x:c r="E7" s="143" t="str">
        <x:v>Caracteres por minuto falado</x:v>
      </x:c>
    </x:row>
    <x:row r="8">
      <x:c r="A8" s="351" t="str">
        <x:v>LiveKit agent session</x:v>
      </x:c>
      <x:c r="B8" s="249" t="n">
        <x:f>Channel_Assumptions!$B$6*Provider_Catalog!$E$8</x:f>
        <x:v>0.3</x:v>
      </x:c>
      <x:c r="C8" s="249" t="n">
        <x:f>IFERROR(B8/Channel_Assumptions!$B$6,0)</x:f>
        <x:v>0.01</x:v>
      </x:c>
      <x:c r="D8" s="249" t="n">
        <x:f>IFERROR(B8/(Channel_Assumptions!$B$6*Channel_Assumptions!$C$6),0)</x:f>
        <x:v>0.01818181818181818</x:v>
      </x:c>
      <x:c r="E8" s="143" t="str">
        <x:v>Por minuto conectado</x:v>
      </x:c>
    </x:row>
    <x:row r="9">
      <x:c r="A9" s="351" t="str">
        <x:v>LiveKit media transport</x:v>
      </x:c>
      <x:c r="B9" s="249" t="n">
        <x:f>Channel_Assumptions!$B$6*Provider_Catalog!$E$9</x:f>
        <x:v>0.045</x:v>
      </x:c>
      <x:c r="C9" s="249" t="n">
        <x:f>IFERROR(B9/Channel_Assumptions!$B$6,0)</x:f>
        <x:v>0.0015</x:v>
      </x:c>
      <x:c r="D9" s="249" t="n">
        <x:f>IFERROR(B9/(Channel_Assumptions!$B$6*Channel_Assumptions!$C$6),0)</x:f>
        <x:v>0.002727272727272727</x:v>
      </x:c>
      <x:c r="E9" s="143" t="str">
        <x:v>Por minuto conectado</x:v>
      </x:c>
    </x:row>
    <x:row r="10">
      <x:c r="A10" s="351" t="str">
        <x:v>Realtime avatar</x:v>
      </x:c>
      <x:c r="B10" s="249" t="n">
        <x:f>Channel_Assumptions!$B$6*Channel_Assumptions!$D$6*Provider_Catalog!$E$10</x:f>
        <x:v>9.161538461538461</x:v>
      </x:c>
      <x:c r="C10" s="249" t="n">
        <x:f>IFERROR(B10/Channel_Assumptions!$B$6,0)</x:f>
        <x:v>0.30538461538461537</x:v>
      </x:c>
      <x:c r="D10" s="249" t="n">
        <x:f>IFERROR(B10/(Channel_Assumptions!$B$6*Channel_Assumptions!$C$6),0)</x:f>
        <x:v>0.5552447552447553</x:v>
      </x:c>
      <x:c r="E10" s="143" t="str">
        <x:v>Por minuto conectado com avatar ativo</x:v>
      </x:c>
    </x:row>
    <x:row r="11">
      <x:c r="A11" s="351" t="str">
        <x:v>External meeting bot</x:v>
      </x:c>
      <x:c r="B11" s="249" t="n">
        <x:f>0</x:f>
        <x:v>0</x:v>
      </x:c>
      <x:c r="C11" s="249" t="n">
        <x:f>IFERROR(B11/Channel_Assumptions!$B$6,0)</x:f>
        <x:v>0</x:v>
      </x:c>
      <x:c r="D11" s="249" t="n">
        <x:f>IFERROR(B11/(Channel_Assumptions!$B$6*Channel_Assumptions!$C$6),0)</x:f>
        <x:v>0</x:v>
      </x:c>
      <x:c r="E11" s="143" t="str">
        <x:v>Por minuto conectado com bot externo</x:v>
      </x:c>
    </x:row>
    <x:row r="12">
      <x:c r="A12" s="351" t="str">
        <x:v>Telnyx call control</x:v>
      </x:c>
      <x:c r="B12" s="249" t="n">
        <x:f>0</x:f>
        <x:v>0</x:v>
      </x:c>
      <x:c r="C12" s="249" t="n">
        <x:f>IFERROR(B12/Channel_Assumptions!$B$6,0)</x:f>
        <x:v>0</x:v>
      </x:c>
      <x:c r="D12" s="249" t="n">
        <x:f>IFERROR(B12/(Channel_Assumptions!$B$6*Channel_Assumptions!$C$6),0)</x:f>
        <x:v>0</x:v>
      </x:c>
      <x:c r="E12" s="143" t="str">
        <x:v>Por minuto conectado</x:v>
      </x:c>
    </x:row>
    <x:row r="13">
      <x:c r="A13" s="351" t="str">
        <x:v>Telnyx SIP media</x:v>
      </x:c>
      <x:c r="B13" s="249" t="n">
        <x:f>0</x:f>
        <x:v>0</x:v>
      </x:c>
      <x:c r="C13" s="249" t="n">
        <x:f>IFERROR(B13/Channel_Assumptions!$B$6,0)</x:f>
        <x:v>0</x:v>
      </x:c>
      <x:c r="D13" s="249" t="n">
        <x:f>IFERROR(B13/(Channel_Assumptions!$B$6*Channel_Assumptions!$C$6),0)</x:f>
        <x:v>0</x:v>
      </x:c>
      <x:c r="E13" s="143" t="str">
        <x:v>Por minuto conectado</x:v>
      </x:c>
    </x:row>
    <x:row r="14">
      <x:c r="A14" s="351" t="str">
        <x:v>Recording</x:v>
      </x:c>
      <x:c r="B14" s="249" t="n">
        <x:f>Channel_Assumptions!$B$6*Channel_Assumptions!$F$6*Provider_Catalog!$E$14</x:f>
        <x:v>0.15</x:v>
      </x:c>
      <x:c r="C14" s="249" t="n">
        <x:f>IFERROR(B14/Channel_Assumptions!$B$6,0)</x:f>
        <x:v>0.005</x:v>
      </x:c>
      <x:c r="D14" s="249" t="n">
        <x:f>IFERROR(B14/(Channel_Assumptions!$B$6*Channel_Assumptions!$C$6),0)</x:f>
        <x:v>0.00909090909090909</x:v>
      </x:c>
      <x:c r="E14" s="143" t="str">
        <x:v>Por minuto conectado conforme recording ratio</x:v>
      </x:c>
    </x:row>
    <x:row r="15">
      <x:c r="A15" s="351" t="str">
        <x:v>Observability</x:v>
      </x:c>
      <x:c r="B15" s="249" t="n">
        <x:f>Channel_Assumptions!$B$6*Provider_Catalog!$E$15</x:f>
        <x:v>0.09</x:v>
      </x:c>
      <x:c r="C15" s="249" t="n">
        <x:f>IFERROR(B15/Channel_Assumptions!$B$6,0)</x:f>
        <x:v>0.003</x:v>
      </x:c>
      <x:c r="D15" s="249" t="n">
        <x:f>IFERROR(B15/(Channel_Assumptions!$B$6*Channel_Assumptions!$C$6),0)</x:f>
        <x:v>0.005454545454545454</x:v>
      </x:c>
      <x:c r="E15" s="143" t="str">
        <x:v>Por minuto conectado</x:v>
      </x:c>
    </x:row>
    <x:row r="16">
      <x:c r="A16" s="351" t="str">
        <x:v>Realtime infrastructure</x:v>
      </x:c>
      <x:c r="B16" s="249" t="n">
        <x:f>Channel_Assumptions!$B$6*Provider_Catalog!$E$16</x:f>
        <x:v>0.24</x:v>
      </x:c>
      <x:c r="C16" s="249" t="n">
        <x:f>IFERROR(B16/Channel_Assumptions!$B$6,0)</x:f>
        <x:v>0.008</x:v>
      </x:c>
      <x:c r="D16" s="249" t="n">
        <x:f>IFERROR(B16/(Channel_Assumptions!$B$6*Channel_Assumptions!$C$6),0)</x:f>
        <x:v>0.014545454545454545</x:v>
      </x:c>
      <x:c r="E16" s="143" t="str">
        <x:v>Por minuto conectado</x:v>
      </x:c>
    </x:row>
    <x:row r="17">
      <x:c r="A17" s="352" t="str">
        <x:v>Operational support</x:v>
      </x:c>
      <x:c r="B17" s="250" t="n">
        <x:f>Channel_Assumptions!$B$6*Provider_Catalog!$E$17</x:f>
        <x:v>0.15</x:v>
      </x:c>
      <x:c r="C17" s="250" t="n">
        <x:f>IFERROR(B17/Channel_Assumptions!$B$6,0)</x:f>
        <x:v>0.005</x:v>
      </x:c>
      <x:c r="D17" s="250" t="n">
        <x:f>IFERROR(B17/(Channel_Assumptions!$B$6*Channel_Assumptions!$C$6),0)</x:f>
        <x:v>0.00909090909090909</x:v>
      </x:c>
      <x:c r="E17" s="93" t="str">
        <x:v>Por minuto conectado</x:v>
      </x:c>
    </x:row>
    <x:row r="18">
      <x:c r="A18" s="356" t="str">
        <x:v>Subtotal</x:v>
      </x:c>
      <x:c r="B18" s="251" t="n">
        <x:f>SUM(B4:B17)</x:f>
        <x:v>11.251938461538462</x:v>
      </x:c>
      <x:c r="C18" s="251" t="str"/>
      <x:c r="D18" s="251" t="str"/>
      <x:c r="E18" s="223" t="str"/>
    </x:row>
    <x:row r="19">
      <x:c r="A19" s="351" t="str">
        <x:v>Reserve</x:v>
      </x:c>
      <x:c r="B19" s="249" t="n">
        <x:f>B18*Global_Assumptions!$B$15</x:f>
        <x:v>1.1251938461538462</x:v>
      </x:c>
      <x:c r="C19" s="249" t="str"/>
      <x:c r="D19" s="249" t="str"/>
      <x:c r="E19" s="143" t="str"/>
    </x:row>
    <x:row r="20">
      <x:c r="A20" s="357" t="str">
        <x:v>Total cost / call</x:v>
      </x:c>
      <x:c r="B20" s="252" t="n">
        <x:f>B18+B19</x:f>
        <x:v>12.377132307692309</x:v>
      </x:c>
      <x:c r="C20" s="252" t="str"/>
      <x:c r="D20" s="252" t="str"/>
      <x:c r="E20" s="235" t="str"/>
    </x:row>
    <x:row r="21">
      <x:c r="A21" s="357" t="str">
        <x:v>Total cost / connected minute</x:v>
      </x:c>
      <x:c r="B21" s="252" t="n">
        <x:f>IFERROR(B20/Channel_Assumptions!$B$6,0)</x:f>
        <x:v>0.41257107692307693</x:v>
      </x:c>
      <x:c r="C21" s="252" t="str"/>
      <x:c r="D21" s="252" t="str"/>
      <x:c r="E21" s="235" t="str"/>
    </x:row>
    <x:row r="22">
      <x:c r="A22" s="357" t="str">
        <x:v>Total cost / spoken minute</x:v>
      </x:c>
      <x:c r="B22" s="252" t="n">
        <x:f>IFERROR(B20/(Channel_Assumptions!$B$6*Channel_Assumptions!$C$6),0)</x:f>
        <x:v>0.7501292307692308</x:v>
      </x:c>
      <x:c r="C22" s="252" t="str"/>
      <x:c r="D22" s="252" t="str"/>
      <x:c r="E22" s="235" t="str"/>
    </x:row>
    <x:row r="23">
      <x:c r="A23" s="358" t="str">
        <x:v>Total cost / call BRL</x:v>
      </x:c>
      <x:c r="B23" s="258" t="n">
        <x:f>B20*Global_Assumptions!$B$4</x:f>
        <x:v>66.83651446153847</x:v>
      </x:c>
      <x:c r="C23" s="237" t="str"/>
      <x:c r="D23" s="237" t="str"/>
      <x:c r="E23" s="238" t="str"/>
    </x:row>
    <x:row r="24">
      <x:c r="A24" s="337"/>
    </x:row>
    <x:row r="25">
      <x:c r="A25" s="337"/>
    </x:row>
    <x:row r="26">
      <x:c r="A26" s="337"/>
    </x:row>
    <x:row r="27">
      <x:c r="A27" s="337"/>
    </x:row>
    <x:row r="28">
      <x:c r="A28" s="337"/>
    </x:row>
    <x:row r="29">
      <x:c r="A29" s="337"/>
    </x:row>
    <x:row r="30">
      <x:c r="A30" s="337"/>
    </x:row>
    <x:row r="31">
      <x:c r="A31" s="337"/>
    </x:row>
    <x:row r="32">
      <x:c r="A32" s="337"/>
    </x:row>
    <x:row r="33">
      <x:c r="A33" s="337"/>
    </x:row>
    <x:row r="34">
      <x:c r="A34" s="337"/>
    </x:row>
    <x:row r="35">
      <x:c r="A35" s="337"/>
    </x:row>
    <x:row r="36">
      <x:c r="A36" s="337"/>
    </x:row>
    <x:row r="37">
      <x:c r="A37" s="337"/>
    </x:row>
    <x:row r="38">
      <x:c r="A38" s="337"/>
    </x:row>
    <x:row r="39">
      <x:c r="A39" s="337"/>
    </x:row>
    <x:row r="40">
      <x:c r="A40" s="337"/>
    </x:row>
    <x:row r="41">
      <x:c r="A41" s="337"/>
    </x:row>
    <x:row r="42">
      <x:c r="A42" s="337"/>
    </x:row>
    <x:row r="43">
      <x:c r="A43" s="337"/>
    </x:row>
    <x:row r="44">
      <x:c r="A44" s="337"/>
    </x:row>
    <x:row r="45">
      <x:c r="A45" s="337"/>
    </x:row>
    <x:row r="46">
      <x:c r="A46" s="337"/>
    </x:row>
    <x:row r="47">
      <x:c r="A47" s="337"/>
    </x:row>
    <x:row r="48">
      <x:c r="A48" s="337"/>
    </x:row>
    <x:row r="49">
      <x:c r="A49" s="337"/>
    </x:row>
    <x:row r="50">
      <x:c r="A50" s="337"/>
    </x:row>
    <x:row r="51">
      <x:c r="A51" s="337"/>
    </x:row>
    <x:row r="52">
      <x:c r="A52" s="337"/>
    </x:row>
    <x:row r="53">
      <x:c r="A53" s="337"/>
    </x:row>
    <x:row r="54">
      <x:c r="A54" s="337"/>
    </x:row>
    <x:row r="55">
      <x:c r="A55" s="337"/>
    </x:row>
    <x:row r="56">
      <x:c r="A56" s="337"/>
    </x:row>
    <x:row r="57">
      <x:c r="A57" s="337"/>
    </x:row>
    <x:row r="58">
      <x:c r="A58" s="337"/>
    </x:row>
    <x:row r="59">
      <x:c r="A59" s="337"/>
    </x:row>
    <x:row r="60">
      <x:c r="A60" s="337"/>
    </x:row>
    <x:row r="61">
      <x:c r="A61" s="337"/>
    </x:row>
    <x:row r="62">
      <x:c r="A62" s="337"/>
    </x:row>
    <x:row r="63">
      <x:c r="A63" s="337"/>
    </x:row>
    <x:row r="64">
      <x:c r="A64" s="337"/>
    </x:row>
    <x:row r="65">
      <x:c r="A65" s="337"/>
    </x:row>
    <x:row r="66">
      <x:c r="A66" s="337"/>
    </x:row>
    <x:row r="67">
      <x:c r="A67" s="337"/>
    </x:row>
    <x:row r="68">
      <x:c r="A68" s="337"/>
    </x:row>
    <x:row r="69">
      <x:c r="A69" s="337"/>
    </x:row>
    <x:row r="70">
      <x:c r="A70" s="337"/>
    </x:row>
    <x:row r="71">
      <x:c r="A71" s="337"/>
    </x:row>
    <x:row r="72">
      <x:c r="A72" s="337"/>
    </x:row>
    <x:row r="73">
      <x:c r="A73" s="337"/>
    </x:row>
    <x:row r="74">
      <x:c r="A74" s="337"/>
    </x:row>
    <x:row r="75">
      <x:c r="A75" s="337"/>
    </x:row>
    <x:row r="76">
      <x:c r="A76" s="337"/>
    </x:row>
    <x:row r="77">
      <x:c r="A77" s="337"/>
    </x:row>
    <x:row r="78">
      <x:c r="A78" s="337"/>
    </x:row>
    <x:row r="79">
      <x:c r="A79" s="337"/>
    </x:row>
    <x:row r="80">
      <x:c r="A80" s="337"/>
    </x:row>
    <x:row r="81">
      <x:c r="A81" s="337"/>
    </x:row>
    <x:row r="82">
      <x:c r="A82" s="337"/>
    </x:row>
    <x:row r="83">
      <x:c r="A83" s="337"/>
    </x:row>
    <x:row r="84">
      <x:c r="A84" s="337"/>
    </x:row>
    <x:row r="85">
      <x:c r="A85" s="337"/>
    </x:row>
    <x:row r="86">
      <x:c r="A86" s="337"/>
    </x:row>
    <x:row r="87">
      <x:c r="A87" s="337"/>
    </x:row>
    <x:row r="88">
      <x:c r="A88" s="337"/>
    </x:row>
    <x:row r="89">
      <x:c r="A89" s="337"/>
    </x:row>
    <x:row r="90">
      <x:c r="A90" s="337"/>
    </x:row>
    <x:row r="91">
      <x:c r="A91" s="337"/>
    </x:row>
    <x:row r="92">
      <x:c r="A92" s="337"/>
    </x:row>
    <x:row r="93">
      <x:c r="A93" s="337"/>
    </x:row>
    <x:row r="94">
      <x:c r="A94" s="337"/>
    </x:row>
    <x:row r="95">
      <x:c r="A95" s="337"/>
    </x:row>
    <x:row r="96">
      <x:c r="A96" s="337"/>
    </x:row>
    <x:row r="97">
      <x:c r="A97" s="337"/>
    </x:row>
    <x:row r="98">
      <x:c r="A98" s="337"/>
    </x:row>
    <x:row r="99">
      <x:c r="A99" s="337"/>
    </x:row>
    <x:row r="100">
      <x:c r="A100" s="337"/>
    </x:row>
  </x:sheetData>
  <x:mergeCells>
    <x:mergeCell ref="A1:E1"/>
    <x:mergeCell ref="A2:E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8" hidden="0" customWidth="1"/>
    <x:col min="3" max="3" width="21" hidden="0" customWidth="1"/>
    <x:col min="4" max="4" width="18" hidden="0" customWidth="1"/>
    <x:col min="5" max="5" width="48" hidden="0" customWidth="1"/>
  </x:cols>
  <x:sheetData>
    <x:row r="1" ht="34" customHeight="1">
      <x:c r="A1" s="374" t="str">
        <x:v>External Meeting</x:v>
      </x:c>
      <x:c r="B1" s="5"/>
      <x:c r="C1" s="5"/>
      <x:c r="D1" s="5"/>
      <x:c r="E1" s="5"/>
    </x:row>
    <x:row r="2" ht="26" customHeight="1">
      <x:c r="A2" s="376" t="str">
        <x:v>Custo por call e por minuto. Inputs vêm do Provider_Catalog e Channel_Assumptions.</x:v>
      </x:c>
      <x:c r="B2" s="14"/>
      <x:c r="C2" s="14"/>
      <x:c r="D2" s="14"/>
      <x:c r="E2" s="14"/>
    </x:row>
    <x:row r="3" ht="28" customHeight="1">
      <x:c r="A3" s="332" t="str">
        <x:v>Componente</x:v>
      </x:c>
      <x:c r="B3" s="122" t="str">
        <x:v>Custo / Call USD</x:v>
      </x:c>
      <x:c r="C3" s="122" t="str">
        <x:v>Custo / Min Conectado</x:v>
      </x:c>
      <x:c r="D3" s="122" t="str">
        <x:v>Custo / Min Falado</x:v>
      </x:c>
      <x:c r="E3" s="123" t="str">
        <x:v>Base</x:v>
      </x:c>
    </x:row>
    <x:row r="4">
      <x:c r="A4" s="350" t="str">
        <x:v>Realtime speech-to-speech</x:v>
      </x:c>
      <x:c r="B4" s="248" t="n">
        <x:f>Channel_Assumptions!$B$7*Channel_Assumptions!$C$7*Provider_Catalog!$E$4</x:f>
        <x:v>1.1154</x:v>
      </x:c>
      <x:c r="C4" s="248" t="n">
        <x:f>IFERROR(B4/Channel_Assumptions!$B$7,0)</x:f>
        <x:v>0.03718</x:v>
      </x:c>
      <x:c r="D4" s="248" t="n">
        <x:f>IFERROR(B4/(Channel_Assumptions!$B$7*Channel_Assumptions!$C$7),0)</x:f>
        <x:v>0.0676</x:v>
      </x:c>
      <x:c r="E4" s="90" t="str">
        <x:v>Por minuto falado</x:v>
      </x:c>
    </x:row>
    <x:row r="5">
      <x:c r="A5" s="351" t="str">
        <x:v>STT</x:v>
      </x:c>
      <x:c r="B5" s="249" t="n">
        <x:f>0</x:f>
        <x:v>0</x:v>
      </x:c>
      <x:c r="C5" s="249" t="n">
        <x:f>IFERROR(B5/Channel_Assumptions!$B$7,0)</x:f>
        <x:v>0</x:v>
      </x:c>
      <x:c r="D5" s="249" t="n">
        <x:f>IFERROR(B5/(Channel_Assumptions!$B$7*Channel_Assumptions!$C$7),0)</x:f>
        <x:v>0</x:v>
      </x:c>
      <x:c r="E5" s="143" t="str">
        <x:v>Por minuto falado</x:v>
      </x:c>
    </x:row>
    <x:row r="6">
      <x:c r="A6" s="351" t="str">
        <x:v>Fast text LLM</x:v>
      </x:c>
      <x:c r="B6" s="249" t="n">
        <x:f>0</x:f>
        <x:v>0</x:v>
      </x:c>
      <x:c r="C6" s="249" t="n">
        <x:f>IFERROR(B6/Channel_Assumptions!$B$7,0)</x:f>
        <x:v>0</x:v>
      </x:c>
      <x:c r="D6" s="249" t="n">
        <x:f>IFERROR(B6/(Channel_Assumptions!$B$7*Channel_Assumptions!$C$7),0)</x:f>
        <x:v>0</x:v>
      </x:c>
      <x:c r="E6" s="143" t="str">
        <x:v>Premissa agregada por minuto falado</x:v>
      </x:c>
    </x:row>
    <x:row r="7">
      <x:c r="A7" s="351" t="str">
        <x:v>TTS</x:v>
      </x:c>
      <x:c r="B7" s="249" t="n">
        <x:f>0</x:f>
        <x:v>0</x:v>
      </x:c>
      <x:c r="C7" s="249" t="n">
        <x:f>IFERROR(B7/Channel_Assumptions!$B$7,0)</x:f>
        <x:v>0</x:v>
      </x:c>
      <x:c r="D7" s="249" t="n">
        <x:f>IFERROR(B7/(Channel_Assumptions!$B$7*Channel_Assumptions!$C$7),0)</x:f>
        <x:v>0</x:v>
      </x:c>
      <x:c r="E7" s="143" t="str">
        <x:v>Caracteres por minuto falado</x:v>
      </x:c>
    </x:row>
    <x:row r="8">
      <x:c r="A8" s="351" t="str">
        <x:v>LiveKit agent session</x:v>
      </x:c>
      <x:c r="B8" s="249" t="n">
        <x:f>Channel_Assumptions!$B$7*Provider_Catalog!$E$8</x:f>
        <x:v>0.3</x:v>
      </x:c>
      <x:c r="C8" s="249" t="n">
        <x:f>IFERROR(B8/Channel_Assumptions!$B$7,0)</x:f>
        <x:v>0.01</x:v>
      </x:c>
      <x:c r="D8" s="249" t="n">
        <x:f>IFERROR(B8/(Channel_Assumptions!$B$7*Channel_Assumptions!$C$7),0)</x:f>
        <x:v>0.01818181818181818</x:v>
      </x:c>
      <x:c r="E8" s="143" t="str">
        <x:v>Por minuto conectado</x:v>
      </x:c>
    </x:row>
    <x:row r="9">
      <x:c r="A9" s="351" t="str">
        <x:v>LiveKit media transport</x:v>
      </x:c>
      <x:c r="B9" s="249" t="n">
        <x:f>0</x:f>
        <x:v>0</x:v>
      </x:c>
      <x:c r="C9" s="249" t="n">
        <x:f>IFERROR(B9/Channel_Assumptions!$B$7,0)</x:f>
        <x:v>0</x:v>
      </x:c>
      <x:c r="D9" s="249" t="n">
        <x:f>IFERROR(B9/(Channel_Assumptions!$B$7*Channel_Assumptions!$C$7),0)</x:f>
        <x:v>0</x:v>
      </x:c>
      <x:c r="E9" s="143" t="str">
        <x:v>Por minuto conectado</x:v>
      </x:c>
    </x:row>
    <x:row r="10">
      <x:c r="A10" s="351" t="str">
        <x:v>Realtime avatar</x:v>
      </x:c>
      <x:c r="B10" s="249" t="n">
        <x:f>Channel_Assumptions!$B$7*Channel_Assumptions!$D$7*Provider_Catalog!$E$10</x:f>
        <x:v>9.161538461538461</x:v>
      </x:c>
      <x:c r="C10" s="249" t="n">
        <x:f>IFERROR(B10/Channel_Assumptions!$B$7,0)</x:f>
        <x:v>0.30538461538461537</x:v>
      </x:c>
      <x:c r="D10" s="249" t="n">
        <x:f>IFERROR(B10/(Channel_Assumptions!$B$7*Channel_Assumptions!$C$7),0)</x:f>
        <x:v>0.5552447552447553</x:v>
      </x:c>
      <x:c r="E10" s="143" t="str">
        <x:v>Por minuto conectado com avatar ativo</x:v>
      </x:c>
    </x:row>
    <x:row r="11">
      <x:c r="A11" s="351" t="str">
        <x:v>External meeting bot</x:v>
      </x:c>
      <x:c r="B11" s="249" t="n">
        <x:f>Channel_Assumptions!$B$7*Channel_Assumptions!$E$7*Provider_Catalog!$E$11</x:f>
        <x:v>0.25</x:v>
      </x:c>
      <x:c r="C11" s="249" t="n">
        <x:f>IFERROR(B11/Channel_Assumptions!$B$7,0)</x:f>
        <x:v>0.008333333333333333</x:v>
      </x:c>
      <x:c r="D11" s="249" t="n">
        <x:f>IFERROR(B11/(Channel_Assumptions!$B$7*Channel_Assumptions!$C$7),0)</x:f>
        <x:v>0.015151515151515152</x:v>
      </x:c>
      <x:c r="E11" s="143" t="str">
        <x:v>Por minuto conectado com bot externo</x:v>
      </x:c>
    </x:row>
    <x:row r="12">
      <x:c r="A12" s="351" t="str">
        <x:v>Telnyx call control</x:v>
      </x:c>
      <x:c r="B12" s="249" t="n">
        <x:f>0</x:f>
        <x:v>0</x:v>
      </x:c>
      <x:c r="C12" s="249" t="n">
        <x:f>IFERROR(B12/Channel_Assumptions!$B$7,0)</x:f>
        <x:v>0</x:v>
      </x:c>
      <x:c r="D12" s="249" t="n">
        <x:f>IFERROR(B12/(Channel_Assumptions!$B$7*Channel_Assumptions!$C$7),0)</x:f>
        <x:v>0</x:v>
      </x:c>
      <x:c r="E12" s="143" t="str">
        <x:v>Por minuto conectado</x:v>
      </x:c>
    </x:row>
    <x:row r="13">
      <x:c r="A13" s="351" t="str">
        <x:v>Telnyx SIP media</x:v>
      </x:c>
      <x:c r="B13" s="249" t="n">
        <x:f>0</x:f>
        <x:v>0</x:v>
      </x:c>
      <x:c r="C13" s="249" t="n">
        <x:f>IFERROR(B13/Channel_Assumptions!$B$7,0)</x:f>
        <x:v>0</x:v>
      </x:c>
      <x:c r="D13" s="249" t="n">
        <x:f>IFERROR(B13/(Channel_Assumptions!$B$7*Channel_Assumptions!$C$7),0)</x:f>
        <x:v>0</x:v>
      </x:c>
      <x:c r="E13" s="143" t="str">
        <x:v>Por minuto conectado</x:v>
      </x:c>
    </x:row>
    <x:row r="14">
      <x:c r="A14" s="351" t="str">
        <x:v>Recording</x:v>
      </x:c>
      <x:c r="B14" s="249" t="n">
        <x:f>Channel_Assumptions!$B$7*Channel_Assumptions!$F$7*Provider_Catalog!$E$14</x:f>
        <x:v>0.15</x:v>
      </x:c>
      <x:c r="C14" s="249" t="n">
        <x:f>IFERROR(B14/Channel_Assumptions!$B$7,0)</x:f>
        <x:v>0.005</x:v>
      </x:c>
      <x:c r="D14" s="249" t="n">
        <x:f>IFERROR(B14/(Channel_Assumptions!$B$7*Channel_Assumptions!$C$7),0)</x:f>
        <x:v>0.00909090909090909</x:v>
      </x:c>
      <x:c r="E14" s="143" t="str">
        <x:v>Por minuto conectado conforme recording ratio</x:v>
      </x:c>
    </x:row>
    <x:row r="15">
      <x:c r="A15" s="351" t="str">
        <x:v>Observability</x:v>
      </x:c>
      <x:c r="B15" s="249" t="n">
        <x:f>Channel_Assumptions!$B$7*Provider_Catalog!$E$15</x:f>
        <x:v>0.09</x:v>
      </x:c>
      <x:c r="C15" s="249" t="n">
        <x:f>IFERROR(B15/Channel_Assumptions!$B$7,0)</x:f>
        <x:v>0.003</x:v>
      </x:c>
      <x:c r="D15" s="249" t="n">
        <x:f>IFERROR(B15/(Channel_Assumptions!$B$7*Channel_Assumptions!$C$7),0)</x:f>
        <x:v>0.005454545454545454</x:v>
      </x:c>
      <x:c r="E15" s="143" t="str">
        <x:v>Por minuto conectado</x:v>
      </x:c>
    </x:row>
    <x:row r="16">
      <x:c r="A16" s="351" t="str">
        <x:v>Realtime infrastructure</x:v>
      </x:c>
      <x:c r="B16" s="249" t="n">
        <x:f>Channel_Assumptions!$B$7*Provider_Catalog!$E$16</x:f>
        <x:v>0.24</x:v>
      </x:c>
      <x:c r="C16" s="249" t="n">
        <x:f>IFERROR(B16/Channel_Assumptions!$B$7,0)</x:f>
        <x:v>0.008</x:v>
      </x:c>
      <x:c r="D16" s="249" t="n">
        <x:f>IFERROR(B16/(Channel_Assumptions!$B$7*Channel_Assumptions!$C$7),0)</x:f>
        <x:v>0.014545454545454545</x:v>
      </x:c>
      <x:c r="E16" s="143" t="str">
        <x:v>Por minuto conectado</x:v>
      </x:c>
    </x:row>
    <x:row r="17">
      <x:c r="A17" s="352" t="str">
        <x:v>Operational support</x:v>
      </x:c>
      <x:c r="B17" s="250" t="n">
        <x:f>Channel_Assumptions!$B$7*Provider_Catalog!$E$17</x:f>
        <x:v>0.15</x:v>
      </x:c>
      <x:c r="C17" s="250" t="n">
        <x:f>IFERROR(B17/Channel_Assumptions!$B$7,0)</x:f>
        <x:v>0.005</x:v>
      </x:c>
      <x:c r="D17" s="250" t="n">
        <x:f>IFERROR(B17/(Channel_Assumptions!$B$7*Channel_Assumptions!$C$7),0)</x:f>
        <x:v>0.00909090909090909</x:v>
      </x:c>
      <x:c r="E17" s="93" t="str">
        <x:v>Por minuto conectado</x:v>
      </x:c>
    </x:row>
    <x:row r="18">
      <x:c r="A18" s="356" t="str">
        <x:v>Subtotal</x:v>
      </x:c>
      <x:c r="B18" s="251" t="n">
        <x:f>SUM(B4:B17)</x:f>
        <x:v>11.456938461538462</x:v>
      </x:c>
      <x:c r="C18" s="251" t="str"/>
      <x:c r="D18" s="251" t="str"/>
      <x:c r="E18" s="223" t="str"/>
    </x:row>
    <x:row r="19">
      <x:c r="A19" s="351" t="str">
        <x:v>Reserve</x:v>
      </x:c>
      <x:c r="B19" s="249" t="n">
        <x:f>B18*Global_Assumptions!$B$15</x:f>
        <x:v>1.1456938461538462</x:v>
      </x:c>
      <x:c r="C19" s="249" t="str"/>
      <x:c r="D19" s="249" t="str"/>
      <x:c r="E19" s="143" t="str"/>
    </x:row>
    <x:row r="20">
      <x:c r="A20" s="357" t="str">
        <x:v>Total cost / call</x:v>
      </x:c>
      <x:c r="B20" s="252" t="n">
        <x:f>B18+B19</x:f>
        <x:v>12.602632307692307</x:v>
      </x:c>
      <x:c r="C20" s="252" t="str"/>
      <x:c r="D20" s="252" t="str"/>
      <x:c r="E20" s="235" t="str"/>
    </x:row>
    <x:row r="21">
      <x:c r="A21" s="357" t="str">
        <x:v>Total cost / connected minute</x:v>
      </x:c>
      <x:c r="B21" s="252" t="n">
        <x:f>IFERROR(B20/Channel_Assumptions!$B$7,0)</x:f>
        <x:v>0.42008774358974355</x:v>
      </x:c>
      <x:c r="C21" s="252" t="str"/>
      <x:c r="D21" s="252" t="str"/>
      <x:c r="E21" s="235" t="str"/>
    </x:row>
    <x:row r="22">
      <x:c r="A22" s="357" t="str">
        <x:v>Total cost / spoken minute</x:v>
      </x:c>
      <x:c r="B22" s="252" t="n">
        <x:f>IFERROR(B20/(Channel_Assumptions!$B$7*Channel_Assumptions!$C$7),0)</x:f>
        <x:v>0.7637958974358974</x:v>
      </x:c>
      <x:c r="C22" s="252" t="str"/>
      <x:c r="D22" s="252" t="str"/>
      <x:c r="E22" s="235" t="str"/>
    </x:row>
    <x:row r="23">
      <x:c r="A23" s="358" t="str">
        <x:v>Total cost / call BRL</x:v>
      </x:c>
      <x:c r="B23" s="258" t="n">
        <x:f>B20*Global_Assumptions!$B$4</x:f>
        <x:v>68.05421446153846</x:v>
      </x:c>
      <x:c r="C23" s="237" t="str"/>
      <x:c r="D23" s="237" t="str"/>
      <x:c r="E23" s="238" t="str"/>
    </x:row>
    <x:row r="24">
      <x:c r="A24" s="337"/>
    </x:row>
    <x:row r="25">
      <x:c r="A25" s="337"/>
    </x:row>
    <x:row r="26">
      <x:c r="A26" s="337"/>
    </x:row>
    <x:row r="27">
      <x:c r="A27" s="337"/>
    </x:row>
    <x:row r="28">
      <x:c r="A28" s="337"/>
    </x:row>
    <x:row r="29">
      <x:c r="A29" s="337"/>
    </x:row>
    <x:row r="30">
      <x:c r="A30" s="337"/>
    </x:row>
    <x:row r="31">
      <x:c r="A31" s="337"/>
    </x:row>
    <x:row r="32">
      <x:c r="A32" s="337"/>
    </x:row>
    <x:row r="33">
      <x:c r="A33" s="337"/>
    </x:row>
    <x:row r="34">
      <x:c r="A34" s="337"/>
    </x:row>
    <x:row r="35">
      <x:c r="A35" s="337"/>
    </x:row>
    <x:row r="36">
      <x:c r="A36" s="337"/>
    </x:row>
    <x:row r="37">
      <x:c r="A37" s="337"/>
    </x:row>
    <x:row r="38">
      <x:c r="A38" s="337"/>
    </x:row>
    <x:row r="39">
      <x:c r="A39" s="337"/>
    </x:row>
    <x:row r="40">
      <x:c r="A40" s="337"/>
    </x:row>
    <x:row r="41">
      <x:c r="A41" s="337"/>
    </x:row>
    <x:row r="42">
      <x:c r="A42" s="337"/>
    </x:row>
    <x:row r="43">
      <x:c r="A43" s="337"/>
    </x:row>
    <x:row r="44">
      <x:c r="A44" s="337"/>
    </x:row>
    <x:row r="45">
      <x:c r="A45" s="337"/>
    </x:row>
    <x:row r="46">
      <x:c r="A46" s="337"/>
    </x:row>
    <x:row r="47">
      <x:c r="A47" s="337"/>
    </x:row>
    <x:row r="48">
      <x:c r="A48" s="337"/>
    </x:row>
    <x:row r="49">
      <x:c r="A49" s="337"/>
    </x:row>
    <x:row r="50">
      <x:c r="A50" s="337"/>
    </x:row>
    <x:row r="51">
      <x:c r="A51" s="337"/>
    </x:row>
    <x:row r="52">
      <x:c r="A52" s="337"/>
    </x:row>
    <x:row r="53">
      <x:c r="A53" s="337"/>
    </x:row>
    <x:row r="54">
      <x:c r="A54" s="337"/>
    </x:row>
    <x:row r="55">
      <x:c r="A55" s="337"/>
    </x:row>
    <x:row r="56">
      <x:c r="A56" s="337"/>
    </x:row>
    <x:row r="57">
      <x:c r="A57" s="337"/>
    </x:row>
    <x:row r="58">
      <x:c r="A58" s="337"/>
    </x:row>
    <x:row r="59">
      <x:c r="A59" s="337"/>
    </x:row>
    <x:row r="60">
      <x:c r="A60" s="337"/>
    </x:row>
    <x:row r="61">
      <x:c r="A61" s="337"/>
    </x:row>
    <x:row r="62">
      <x:c r="A62" s="337"/>
    </x:row>
    <x:row r="63">
      <x:c r="A63" s="337"/>
    </x:row>
    <x:row r="64">
      <x:c r="A64" s="337"/>
    </x:row>
    <x:row r="65">
      <x:c r="A65" s="337"/>
    </x:row>
    <x:row r="66">
      <x:c r="A66" s="337"/>
    </x:row>
    <x:row r="67">
      <x:c r="A67" s="337"/>
    </x:row>
    <x:row r="68">
      <x:c r="A68" s="337"/>
    </x:row>
    <x:row r="69">
      <x:c r="A69" s="337"/>
    </x:row>
    <x:row r="70">
      <x:c r="A70" s="337"/>
    </x:row>
    <x:row r="71">
      <x:c r="A71" s="337"/>
    </x:row>
    <x:row r="72">
      <x:c r="A72" s="337"/>
    </x:row>
    <x:row r="73">
      <x:c r="A73" s="337"/>
    </x:row>
    <x:row r="74">
      <x:c r="A74" s="337"/>
    </x:row>
    <x:row r="75">
      <x:c r="A75" s="337"/>
    </x:row>
    <x:row r="76">
      <x:c r="A76" s="337"/>
    </x:row>
    <x:row r="77">
      <x:c r="A77" s="337"/>
    </x:row>
    <x:row r="78">
      <x:c r="A78" s="337"/>
    </x:row>
    <x:row r="79">
      <x:c r="A79" s="337"/>
    </x:row>
    <x:row r="80">
      <x:c r="A80" s="337"/>
    </x:row>
    <x:row r="81">
      <x:c r="A81" s="337"/>
    </x:row>
    <x:row r="82">
      <x:c r="A82" s="337"/>
    </x:row>
    <x:row r="83">
      <x:c r="A83" s="337"/>
    </x:row>
    <x:row r="84">
      <x:c r="A84" s="337"/>
    </x:row>
    <x:row r="85">
      <x:c r="A85" s="337"/>
    </x:row>
    <x:row r="86">
      <x:c r="A86" s="337"/>
    </x:row>
    <x:row r="87">
      <x:c r="A87" s="337"/>
    </x:row>
    <x:row r="88">
      <x:c r="A88" s="337"/>
    </x:row>
    <x:row r="89">
      <x:c r="A89" s="337"/>
    </x:row>
    <x:row r="90">
      <x:c r="A90" s="337"/>
    </x:row>
    <x:row r="91">
      <x:c r="A91" s="337"/>
    </x:row>
    <x:row r="92">
      <x:c r="A92" s="337"/>
    </x:row>
    <x:row r="93">
      <x:c r="A93" s="337"/>
    </x:row>
    <x:row r="94">
      <x:c r="A94" s="337"/>
    </x:row>
    <x:row r="95">
      <x:c r="A95" s="337"/>
    </x:row>
    <x:row r="96">
      <x:c r="A96" s="337"/>
    </x:row>
    <x:row r="97">
      <x:c r="A97" s="337"/>
    </x:row>
    <x:row r="98">
      <x:c r="A98" s="337"/>
    </x:row>
    <x:row r="99">
      <x:c r="A99" s="337"/>
    </x:row>
    <x:row r="100">
      <x:c r="A100" s="337"/>
    </x:row>
  </x:sheetData>
  <x:mergeCells>
    <x:mergeCell ref="A1:E1"/>
    <x:mergeCell ref="A2:E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8" hidden="0" customWidth="1"/>
    <x:col min="3" max="3" width="21" hidden="0" customWidth="1"/>
    <x:col min="4" max="4" width="18" hidden="0" customWidth="1"/>
    <x:col min="5" max="5" width="48" hidden="0" customWidth="1"/>
  </x:cols>
  <x:sheetData>
    <x:row r="1" ht="34" customHeight="1">
      <x:c r="A1" s="374" t="str">
        <x:v>Telephony</x:v>
      </x:c>
      <x:c r="B1" s="5"/>
      <x:c r="C1" s="5"/>
      <x:c r="D1" s="5"/>
      <x:c r="E1" s="5"/>
    </x:row>
    <x:row r="2" ht="26" customHeight="1">
      <x:c r="A2" s="376" t="str">
        <x:v>Custo por call e por minuto. Inputs vêm do Provider_Catalog e Channel_Assumptions.</x:v>
      </x:c>
      <x:c r="B2" s="14"/>
      <x:c r="C2" s="14"/>
      <x:c r="D2" s="14"/>
      <x:c r="E2" s="14"/>
    </x:row>
    <x:row r="3" ht="28" customHeight="1">
      <x:c r="A3" s="332" t="str">
        <x:v>Componente</x:v>
      </x:c>
      <x:c r="B3" s="122" t="str">
        <x:v>Custo / Call USD</x:v>
      </x:c>
      <x:c r="C3" s="122" t="str">
        <x:v>Custo / Min Conectado</x:v>
      </x:c>
      <x:c r="D3" s="122" t="str">
        <x:v>Custo / Min Falado</x:v>
      </x:c>
      <x:c r="E3" s="123" t="str">
        <x:v>Base</x:v>
      </x:c>
    </x:row>
    <x:row r="4">
      <x:c r="A4" s="350" t="str">
        <x:v>Realtime speech-to-speech</x:v>
      </x:c>
      <x:c r="B4" s="248" t="n">
        <x:f>Channel_Assumptions!$B$8*Channel_Assumptions!$C$8*Provider_Catalog!$E$4</x:f>
        <x:v>1.1154</x:v>
      </x:c>
      <x:c r="C4" s="248" t="n">
        <x:f>IFERROR(B4/Channel_Assumptions!$B$8,0)</x:f>
        <x:v>0.03718</x:v>
      </x:c>
      <x:c r="D4" s="248" t="n">
        <x:f>IFERROR(B4/(Channel_Assumptions!$B$8*Channel_Assumptions!$C$8),0)</x:f>
        <x:v>0.0676</x:v>
      </x:c>
      <x:c r="E4" s="90" t="str">
        <x:v>Por minuto falado</x:v>
      </x:c>
    </x:row>
    <x:row r="5">
      <x:c r="A5" s="351" t="str">
        <x:v>STT</x:v>
      </x:c>
      <x:c r="B5" s="249" t="n">
        <x:f>0</x:f>
        <x:v>0</x:v>
      </x:c>
      <x:c r="C5" s="249" t="n">
        <x:f>IFERROR(B5/Channel_Assumptions!$B$8,0)</x:f>
        <x:v>0</x:v>
      </x:c>
      <x:c r="D5" s="249" t="n">
        <x:f>IFERROR(B5/(Channel_Assumptions!$B$8*Channel_Assumptions!$C$8),0)</x:f>
        <x:v>0</x:v>
      </x:c>
      <x:c r="E5" s="143" t="str">
        <x:v>Por minuto falado</x:v>
      </x:c>
    </x:row>
    <x:row r="6">
      <x:c r="A6" s="351" t="str">
        <x:v>Fast text LLM</x:v>
      </x:c>
      <x:c r="B6" s="249" t="n">
        <x:f>0</x:f>
        <x:v>0</x:v>
      </x:c>
      <x:c r="C6" s="249" t="n">
        <x:f>IFERROR(B6/Channel_Assumptions!$B$8,0)</x:f>
        <x:v>0</x:v>
      </x:c>
      <x:c r="D6" s="249" t="n">
        <x:f>IFERROR(B6/(Channel_Assumptions!$B$8*Channel_Assumptions!$C$8),0)</x:f>
        <x:v>0</x:v>
      </x:c>
      <x:c r="E6" s="143" t="str">
        <x:v>Premissa agregada por minuto falado</x:v>
      </x:c>
    </x:row>
    <x:row r="7">
      <x:c r="A7" s="351" t="str">
        <x:v>TTS</x:v>
      </x:c>
      <x:c r="B7" s="249" t="n">
        <x:f>0</x:f>
        <x:v>0</x:v>
      </x:c>
      <x:c r="C7" s="249" t="n">
        <x:f>IFERROR(B7/Channel_Assumptions!$B$8,0)</x:f>
        <x:v>0</x:v>
      </x:c>
      <x:c r="D7" s="249" t="n">
        <x:f>IFERROR(B7/(Channel_Assumptions!$B$8*Channel_Assumptions!$C$8),0)</x:f>
        <x:v>0</x:v>
      </x:c>
      <x:c r="E7" s="143" t="str">
        <x:v>Caracteres por minuto falado</x:v>
      </x:c>
    </x:row>
    <x:row r="8">
      <x:c r="A8" s="351" t="str">
        <x:v>LiveKit agent session</x:v>
      </x:c>
      <x:c r="B8" s="249" t="n">
        <x:f>0</x:f>
        <x:v>0</x:v>
      </x:c>
      <x:c r="C8" s="249" t="n">
        <x:f>IFERROR(B8/Channel_Assumptions!$B$8,0)</x:f>
        <x:v>0</x:v>
      </x:c>
      <x:c r="D8" s="249" t="n">
        <x:f>IFERROR(B8/(Channel_Assumptions!$B$8*Channel_Assumptions!$C$8),0)</x:f>
        <x:v>0</x:v>
      </x:c>
      <x:c r="E8" s="143" t="str">
        <x:v>Por minuto conectado</x:v>
      </x:c>
    </x:row>
    <x:row r="9">
      <x:c r="A9" s="351" t="str">
        <x:v>LiveKit media transport</x:v>
      </x:c>
      <x:c r="B9" s="249" t="n">
        <x:f>0</x:f>
        <x:v>0</x:v>
      </x:c>
      <x:c r="C9" s="249" t="n">
        <x:f>IFERROR(B9/Channel_Assumptions!$B$8,0)</x:f>
        <x:v>0</x:v>
      </x:c>
      <x:c r="D9" s="249" t="n">
        <x:f>IFERROR(B9/(Channel_Assumptions!$B$8*Channel_Assumptions!$C$8),0)</x:f>
        <x:v>0</x:v>
      </x:c>
      <x:c r="E9" s="143" t="str">
        <x:v>Por minuto conectado</x:v>
      </x:c>
    </x:row>
    <x:row r="10">
      <x:c r="A10" s="351" t="str">
        <x:v>Realtime avatar</x:v>
      </x:c>
      <x:c r="B10" s="249" t="n">
        <x:f>0</x:f>
        <x:v>0</x:v>
      </x:c>
      <x:c r="C10" s="249" t="n">
        <x:f>IFERROR(B10/Channel_Assumptions!$B$8,0)</x:f>
        <x:v>0</x:v>
      </x:c>
      <x:c r="D10" s="249" t="n">
        <x:f>IFERROR(B10/(Channel_Assumptions!$B$8*Channel_Assumptions!$C$8),0)</x:f>
        <x:v>0</x:v>
      </x:c>
      <x:c r="E10" s="143" t="str">
        <x:v>Por minuto conectado com avatar ativo</x:v>
      </x:c>
    </x:row>
    <x:row r="11">
      <x:c r="A11" s="351" t="str">
        <x:v>External meeting bot</x:v>
      </x:c>
      <x:c r="B11" s="249" t="n">
        <x:f>0</x:f>
        <x:v>0</x:v>
      </x:c>
      <x:c r="C11" s="249" t="n">
        <x:f>IFERROR(B11/Channel_Assumptions!$B$8,0)</x:f>
        <x:v>0</x:v>
      </x:c>
      <x:c r="D11" s="249" t="n">
        <x:f>IFERROR(B11/(Channel_Assumptions!$B$8*Channel_Assumptions!$C$8),0)</x:f>
        <x:v>0</x:v>
      </x:c>
      <x:c r="E11" s="143" t="str">
        <x:v>Por minuto conectado com bot externo</x:v>
      </x:c>
    </x:row>
    <x:row r="12">
      <x:c r="A12" s="351" t="str">
        <x:v>Telnyx call control</x:v>
      </x:c>
      <x:c r="B12" s="249" t="n">
        <x:f>Channel_Assumptions!$B$8*Provider_Catalog!$E$12</x:f>
        <x:v>0.06</x:v>
      </x:c>
      <x:c r="C12" s="249" t="n">
        <x:f>IFERROR(B12/Channel_Assumptions!$B$8,0)</x:f>
        <x:v>0.002</x:v>
      </x:c>
      <x:c r="D12" s="249" t="n">
        <x:f>IFERROR(B12/(Channel_Assumptions!$B$8*Channel_Assumptions!$C$8),0)</x:f>
        <x:v>0.0036363636363636364</x:v>
      </x:c>
      <x:c r="E12" s="143" t="str">
        <x:v>Por minuto conectado</x:v>
      </x:c>
    </x:row>
    <x:row r="13">
      <x:c r="A13" s="351" t="str">
        <x:v>Telnyx SIP media</x:v>
      </x:c>
      <x:c r="B13" s="249" t="n">
        <x:f>Channel_Assumptions!$B$8*Provider_Catalog!$E$13</x:f>
        <x:v>0.15</x:v>
      </x:c>
      <x:c r="C13" s="249" t="n">
        <x:f>IFERROR(B13/Channel_Assumptions!$B$8,0)</x:f>
        <x:v>0.005</x:v>
      </x:c>
      <x:c r="D13" s="249" t="n">
        <x:f>IFERROR(B13/(Channel_Assumptions!$B$8*Channel_Assumptions!$C$8),0)</x:f>
        <x:v>0.00909090909090909</x:v>
      </x:c>
      <x:c r="E13" s="143" t="str">
        <x:v>Por minuto conectado</x:v>
      </x:c>
    </x:row>
    <x:row r="14">
      <x:c r="A14" s="351" t="str">
        <x:v>Recording</x:v>
      </x:c>
      <x:c r="B14" s="249" t="n">
        <x:f>Channel_Assumptions!$B$8*Channel_Assumptions!$F$8*Provider_Catalog!$E$14</x:f>
        <x:v>0.15</x:v>
      </x:c>
      <x:c r="C14" s="249" t="n">
        <x:f>IFERROR(B14/Channel_Assumptions!$B$8,0)</x:f>
        <x:v>0.005</x:v>
      </x:c>
      <x:c r="D14" s="249" t="n">
        <x:f>IFERROR(B14/(Channel_Assumptions!$B$8*Channel_Assumptions!$C$8),0)</x:f>
        <x:v>0.00909090909090909</x:v>
      </x:c>
      <x:c r="E14" s="143" t="str">
        <x:v>Por minuto conectado conforme recording ratio</x:v>
      </x:c>
    </x:row>
    <x:row r="15">
      <x:c r="A15" s="351" t="str">
        <x:v>Observability</x:v>
      </x:c>
      <x:c r="B15" s="249" t="n">
        <x:f>Channel_Assumptions!$B$8*Provider_Catalog!$E$15</x:f>
        <x:v>0.09</x:v>
      </x:c>
      <x:c r="C15" s="249" t="n">
        <x:f>IFERROR(B15/Channel_Assumptions!$B$8,0)</x:f>
        <x:v>0.003</x:v>
      </x:c>
      <x:c r="D15" s="249" t="n">
        <x:f>IFERROR(B15/(Channel_Assumptions!$B$8*Channel_Assumptions!$C$8),0)</x:f>
        <x:v>0.005454545454545454</x:v>
      </x:c>
      <x:c r="E15" s="143" t="str">
        <x:v>Por minuto conectado</x:v>
      </x:c>
    </x:row>
    <x:row r="16">
      <x:c r="A16" s="351" t="str">
        <x:v>Realtime infrastructure</x:v>
      </x:c>
      <x:c r="B16" s="249" t="n">
        <x:f>Channel_Assumptions!$B$8*Provider_Catalog!$E$16</x:f>
        <x:v>0.24</x:v>
      </x:c>
      <x:c r="C16" s="249" t="n">
        <x:f>IFERROR(B16/Channel_Assumptions!$B$8,0)</x:f>
        <x:v>0.008</x:v>
      </x:c>
      <x:c r="D16" s="249" t="n">
        <x:f>IFERROR(B16/(Channel_Assumptions!$B$8*Channel_Assumptions!$C$8),0)</x:f>
        <x:v>0.014545454545454545</x:v>
      </x:c>
      <x:c r="E16" s="143" t="str">
        <x:v>Por minuto conectado</x:v>
      </x:c>
    </x:row>
    <x:row r="17">
      <x:c r="A17" s="352" t="str">
        <x:v>Operational support</x:v>
      </x:c>
      <x:c r="B17" s="250" t="n">
        <x:f>Channel_Assumptions!$B$8*Provider_Catalog!$E$17</x:f>
        <x:v>0.15</x:v>
      </x:c>
      <x:c r="C17" s="250" t="n">
        <x:f>IFERROR(B17/Channel_Assumptions!$B$8,0)</x:f>
        <x:v>0.005</x:v>
      </x:c>
      <x:c r="D17" s="250" t="n">
        <x:f>IFERROR(B17/(Channel_Assumptions!$B$8*Channel_Assumptions!$C$8),0)</x:f>
        <x:v>0.00909090909090909</x:v>
      </x:c>
      <x:c r="E17" s="93" t="str">
        <x:v>Por minuto conectado</x:v>
      </x:c>
    </x:row>
    <x:row r="18">
      <x:c r="A18" s="356" t="str">
        <x:v>Subtotal</x:v>
      </x:c>
      <x:c r="B18" s="251" t="n">
        <x:f>SUM(B4:B17)</x:f>
        <x:v>1.9553999999999998</x:v>
      </x:c>
      <x:c r="C18" s="251" t="str"/>
      <x:c r="D18" s="251" t="str"/>
      <x:c r="E18" s="223" t="str"/>
    </x:row>
    <x:row r="19">
      <x:c r="A19" s="351" t="str">
        <x:v>Reserve</x:v>
      </x:c>
      <x:c r="B19" s="249" t="n">
        <x:f>B18*Global_Assumptions!$B$15</x:f>
        <x:v>0.19554</x:v>
      </x:c>
      <x:c r="C19" s="249" t="str"/>
      <x:c r="D19" s="249" t="str"/>
      <x:c r="E19" s="143" t="str"/>
    </x:row>
    <x:row r="20">
      <x:c r="A20" s="357" t="str">
        <x:v>Total cost / call</x:v>
      </x:c>
      <x:c r="B20" s="252" t="n">
        <x:f>B18+B19</x:f>
        <x:v>2.15094</x:v>
      </x:c>
      <x:c r="C20" s="252" t="str"/>
      <x:c r="D20" s="252" t="str"/>
      <x:c r="E20" s="235" t="str"/>
    </x:row>
    <x:row r="21">
      <x:c r="A21" s="357" t="str">
        <x:v>Total cost / connected minute</x:v>
      </x:c>
      <x:c r="B21" s="252" t="n">
        <x:f>IFERROR(B20/Channel_Assumptions!$B$8,0)</x:f>
        <x:v>0.071698</x:v>
      </x:c>
      <x:c r="C21" s="252" t="str"/>
      <x:c r="D21" s="252" t="str"/>
      <x:c r="E21" s="235" t="str"/>
    </x:row>
    <x:row r="22">
      <x:c r="A22" s="357" t="str">
        <x:v>Total cost / spoken minute</x:v>
      </x:c>
      <x:c r="B22" s="252" t="n">
        <x:f>IFERROR(B20/(Channel_Assumptions!$B$8*Channel_Assumptions!$C$8),0)</x:f>
        <x:v>0.13036</x:v>
      </x:c>
      <x:c r="C22" s="252" t="str"/>
      <x:c r="D22" s="252" t="str"/>
      <x:c r="E22" s="235" t="str"/>
    </x:row>
    <x:row r="23">
      <x:c r="A23" s="358" t="str">
        <x:v>Total cost / call BRL</x:v>
      </x:c>
      <x:c r="B23" s="258" t="n">
        <x:f>B20*Global_Assumptions!$B$4</x:f>
        <x:v>11.615076</x:v>
      </x:c>
      <x:c r="C23" s="237" t="str"/>
      <x:c r="D23" s="237" t="str"/>
      <x:c r="E23" s="238" t="str"/>
    </x:row>
    <x:row r="24">
      <x:c r="A24" s="337"/>
    </x:row>
    <x:row r="25">
      <x:c r="A25" s="337"/>
    </x:row>
    <x:row r="26">
      <x:c r="A26" s="337"/>
    </x:row>
    <x:row r="27">
      <x:c r="A27" s="337"/>
    </x:row>
    <x:row r="28">
      <x:c r="A28" s="337"/>
    </x:row>
    <x:row r="29">
      <x:c r="A29" s="337"/>
    </x:row>
    <x:row r="30">
      <x:c r="A30" s="337"/>
    </x:row>
    <x:row r="31">
      <x:c r="A31" s="337"/>
    </x:row>
    <x:row r="32">
      <x:c r="A32" s="337"/>
    </x:row>
    <x:row r="33">
      <x:c r="A33" s="337"/>
    </x:row>
    <x:row r="34">
      <x:c r="A34" s="337"/>
    </x:row>
    <x:row r="35">
      <x:c r="A35" s="337"/>
    </x:row>
    <x:row r="36">
      <x:c r="A36" s="337"/>
    </x:row>
    <x:row r="37">
      <x:c r="A37" s="337"/>
    </x:row>
    <x:row r="38">
      <x:c r="A38" s="337"/>
    </x:row>
    <x:row r="39">
      <x:c r="A39" s="337"/>
    </x:row>
    <x:row r="40">
      <x:c r="A40" s="337"/>
    </x:row>
    <x:row r="41">
      <x:c r="A41" s="337"/>
    </x:row>
    <x:row r="42">
      <x:c r="A42" s="337"/>
    </x:row>
    <x:row r="43">
      <x:c r="A43" s="337"/>
    </x:row>
    <x:row r="44">
      <x:c r="A44" s="337"/>
    </x:row>
    <x:row r="45">
      <x:c r="A45" s="337"/>
    </x:row>
    <x:row r="46">
      <x:c r="A46" s="337"/>
    </x:row>
    <x:row r="47">
      <x:c r="A47" s="337"/>
    </x:row>
    <x:row r="48">
      <x:c r="A48" s="337"/>
    </x:row>
    <x:row r="49">
      <x:c r="A49" s="337"/>
    </x:row>
    <x:row r="50">
      <x:c r="A50" s="337"/>
    </x:row>
    <x:row r="51">
      <x:c r="A51" s="337"/>
    </x:row>
    <x:row r="52">
      <x:c r="A52" s="337"/>
    </x:row>
    <x:row r="53">
      <x:c r="A53" s="337"/>
    </x:row>
    <x:row r="54">
      <x:c r="A54" s="337"/>
    </x:row>
    <x:row r="55">
      <x:c r="A55" s="337"/>
    </x:row>
    <x:row r="56">
      <x:c r="A56" s="337"/>
    </x:row>
    <x:row r="57">
      <x:c r="A57" s="337"/>
    </x:row>
    <x:row r="58">
      <x:c r="A58" s="337"/>
    </x:row>
    <x:row r="59">
      <x:c r="A59" s="337"/>
    </x:row>
    <x:row r="60">
      <x:c r="A60" s="337"/>
    </x:row>
    <x:row r="61">
      <x:c r="A61" s="337"/>
    </x:row>
    <x:row r="62">
      <x:c r="A62" s="337"/>
    </x:row>
    <x:row r="63">
      <x:c r="A63" s="337"/>
    </x:row>
    <x:row r="64">
      <x:c r="A64" s="337"/>
    </x:row>
    <x:row r="65">
      <x:c r="A65" s="337"/>
    </x:row>
    <x:row r="66">
      <x:c r="A66" s="337"/>
    </x:row>
    <x:row r="67">
      <x:c r="A67" s="337"/>
    </x:row>
    <x:row r="68">
      <x:c r="A68" s="337"/>
    </x:row>
    <x:row r="69">
      <x:c r="A69" s="337"/>
    </x:row>
    <x:row r="70">
      <x:c r="A70" s="337"/>
    </x:row>
    <x:row r="71">
      <x:c r="A71" s="337"/>
    </x:row>
    <x:row r="72">
      <x:c r="A72" s="337"/>
    </x:row>
    <x:row r="73">
      <x:c r="A73" s="337"/>
    </x:row>
    <x:row r="74">
      <x:c r="A74" s="337"/>
    </x:row>
    <x:row r="75">
      <x:c r="A75" s="337"/>
    </x:row>
    <x:row r="76">
      <x:c r="A76" s="337"/>
    </x:row>
    <x:row r="77">
      <x:c r="A77" s="337"/>
    </x:row>
    <x:row r="78">
      <x:c r="A78" s="337"/>
    </x:row>
    <x:row r="79">
      <x:c r="A79" s="337"/>
    </x:row>
    <x:row r="80">
      <x:c r="A80" s="337"/>
    </x:row>
    <x:row r="81">
      <x:c r="A81" s="337"/>
    </x:row>
    <x:row r="82">
      <x:c r="A82" s="337"/>
    </x:row>
    <x:row r="83">
      <x:c r="A83" s="337"/>
    </x:row>
    <x:row r="84">
      <x:c r="A84" s="337"/>
    </x:row>
    <x:row r="85">
      <x:c r="A85" s="337"/>
    </x:row>
    <x:row r="86">
      <x:c r="A86" s="337"/>
    </x:row>
    <x:row r="87">
      <x:c r="A87" s="337"/>
    </x:row>
    <x:row r="88">
      <x:c r="A88" s="337"/>
    </x:row>
    <x:row r="89">
      <x:c r="A89" s="337"/>
    </x:row>
    <x:row r="90">
      <x:c r="A90" s="337"/>
    </x:row>
    <x:row r="91">
      <x:c r="A91" s="337"/>
    </x:row>
    <x:row r="92">
      <x:c r="A92" s="337"/>
    </x:row>
    <x:row r="93">
      <x:c r="A93" s="337"/>
    </x:row>
    <x:row r="94">
      <x:c r="A94" s="337"/>
    </x:row>
    <x:row r="95">
      <x:c r="A95" s="337"/>
    </x:row>
    <x:row r="96">
      <x:c r="A96" s="337"/>
    </x:row>
    <x:row r="97">
      <x:c r="A97" s="337"/>
    </x:row>
    <x:row r="98">
      <x:c r="A98" s="337"/>
    </x:row>
    <x:row r="99">
      <x:c r="A99" s="337"/>
    </x:row>
    <x:row r="100">
      <x:c r="A100" s="337"/>
    </x:row>
  </x:sheetData>
  <x:mergeCells>
    <x:mergeCell ref="A1:E1"/>
    <x:mergeCell ref="A2:E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1" hidden="0" customWidth="1"/>
    <x:col min="3" max="3" width="21" hidden="0" customWidth="1"/>
    <x:col min="4" max="4" width="15" hidden="0" customWidth="1"/>
    <x:col min="5" max="5" width="22" hidden="0" customWidth="1"/>
    <x:col min="6" max="6" width="19" hidden="0" customWidth="1"/>
    <x:col min="7" max="7" width="19" hidden="0" customWidth="1"/>
    <x:col min="8" max="8" width="22" hidden="0" customWidth="1"/>
    <x:col min="9" max="9" width="22" hidden="0" customWidth="1"/>
  </x:cols>
  <x:sheetData>
    <x:row r="1" ht="34" customHeight="1">
      <x:c r="A1" s="374" t="str">
        <x:v>Capacity Model</x:v>
      </x:c>
      <x:c r="B1" s="5"/>
      <x:c r="C1" s="5"/>
      <x:c r="D1" s="5"/>
      <x:c r="E1" s="5"/>
      <x:c r="F1" s="5"/>
      <x:c r="G1" s="5"/>
      <x:c r="H1" s="5"/>
      <x:c r="I1" s="5"/>
    </x:row>
    <x:row r="2" ht="26" customHeight="1">
      <x:c r="A2" s="376" t="str">
        <x:v>Concorrência, utilização e custos reservados. Use para evitar denial of wallet e falta de slots.</x:v>
      </x:c>
      <x:c r="B2" s="14"/>
      <x:c r="C2" s="14"/>
      <x:c r="D2" s="14"/>
      <x:c r="E2" s="14"/>
      <x:c r="F2" s="14"/>
      <x:c r="G2" s="14"/>
      <x:c r="H2" s="14"/>
      <x:c r="I2" s="14"/>
    </x:row>
    <x:row r="3" ht="28" customHeight="1">
      <x:c r="A3" s="332" t="str">
        <x:v>Cenário</x:v>
      </x:c>
      <x:c r="B3" s="122" t="str">
        <x:v>Sessões concorrentes</x:v>
      </x:c>
      <x:c r="C3" s="122" t="str">
        <x:v>Utilização produtiva</x:v>
      </x:c>
      <x:c r="D3" s="122" t="str">
        <x:v>Horas / mês</x:v>
      </x:c>
      <x:c r="E3" s="122" t="str">
        <x:v>Min conectados / mês</x:v>
      </x:c>
      <x:c r="F3" s="122" t="str">
        <x:v>Warm pool / mês</x:v>
      </x:c>
      <x:c r="G3" s="122" t="str">
        <x:v>Infra fixa / mês</x:v>
      </x:c>
      <x:c r="H3" s="122" t="str">
        <x:v>Custo capacidade / mês</x:v>
      </x:c>
      <x:c r="I3" s="123" t="str">
        <x:v>Custo capacidade / min</x:v>
      </x:c>
    </x:row>
    <x:row r="4">
      <x:c r="A4" s="350" t="str">
        <x:v>Low</x:v>
      </x:c>
      <x:c r="B4" s="191" t="n">
        <x:v>5</x:v>
      </x:c>
      <x:c r="C4" s="214" t="n">
        <x:v>0.2</x:v>
      </x:c>
      <x:c r="D4" s="89" t="n">
        <x:f>Global_Assumptions!$B$16</x:f>
        <x:v>730</x:v>
      </x:c>
      <x:c r="E4" s="89" t="n">
        <x:f>B4*D4*60*C4</x:f>
        <x:v>43800</x:v>
      </x:c>
      <x:c r="F4" s="260" t="n">
        <x:f>B4*Provider_Catalog!$E$22</x:f>
        <x:v>125</x:v>
      </x:c>
      <x:c r="G4" s="260" t="n">
        <x:f>Global_Assumptions!$B$13*(B4/20)^0.8</x:f>
        <x:v>164.93848884661176</x:v>
      </x:c>
      <x:c r="H4" s="260" t="n">
        <x:f>F4+G4</x:f>
        <x:v>289.9384888466118</x:v>
      </x:c>
      <x:c r="I4" s="261" t="n">
        <x:f>IFERROR(H4/E4,0)</x:f>
        <x:v>0.006619600201977438</x:v>
      </x:c>
    </x:row>
    <x:row r="5">
      <x:c r="A5" s="351" t="str">
        <x:v>Base</x:v>
      </x:c>
      <x:c r="B5" s="175" t="n">
        <x:v>20</x:v>
      </x:c>
      <x:c r="C5" s="210" t="n">
        <x:v>0.35</x:v>
      </x:c>
      <x:c r="D5" s="142" t="n">
        <x:f>Global_Assumptions!$B$16</x:f>
        <x:v>730</x:v>
      </x:c>
      <x:c r="E5" s="142" t="n">
        <x:f>B5*D5*60*C5</x:f>
        <x:v>306600</x:v>
      </x:c>
      <x:c r="F5" s="262" t="n">
        <x:f>B5*Provider_Catalog!$E$22</x:f>
        <x:v>500</x:v>
      </x:c>
      <x:c r="G5" s="262" t="n">
        <x:f>Global_Assumptions!$B$13*(B5/20)^0.8</x:f>
        <x:v>500</x:v>
      </x:c>
      <x:c r="H5" s="262" t="n">
        <x:f>F5+G5</x:f>
        <x:v>1000</x:v>
      </x:c>
      <x:c r="I5" s="263" t="n">
        <x:f>IFERROR(H5/E5,0)</x:f>
        <x:v>0.0032615786040443573</x:v>
      </x:c>
    </x:row>
    <x:row r="6">
      <x:c r="A6" s="352" t="str">
        <x:v>High</x:v>
      </x:c>
      <x:c r="B6" s="179" t="n">
        <x:v>100</x:v>
      </x:c>
      <x:c r="C6" s="215" t="n">
        <x:v>0.55</x:v>
      </x:c>
      <x:c r="D6" s="92" t="n">
        <x:f>Global_Assumptions!$B$16</x:f>
        <x:v>730</x:v>
      </x:c>
      <x:c r="E6" s="92" t="n">
        <x:f>B6*D6*60*C6</x:f>
        <x:v>2409000</x:v>
      </x:c>
      <x:c r="F6" s="264" t="n">
        <x:f>B6*Provider_Catalog!$E$22</x:f>
        <x:v>2500</x:v>
      </x:c>
      <x:c r="G6" s="264" t="n">
        <x:f>Global_Assumptions!$B$13*(B6/20)^0.8</x:f>
        <x:v>1811.949159194239</x:v>
      </x:c>
      <x:c r="H6" s="264" t="n">
        <x:f>F6+G6</x:f>
        <x:v>4311.949159194239</x:v>
      </x:c>
      <x:c r="I6" s="265" t="n">
        <x:f>IFERROR(H6/E6,0)</x:f>
        <x:v>0.0017899332333724527</x:v>
      </x:c>
    </x:row>
    <x:row r="7">
      <x:c r="A7" s="337"/>
    </x:row>
    <x:row r="8">
      <x:c r="A8" s="337"/>
    </x:row>
    <x:row r="9">
      <x:c r="A9" s="337"/>
    </x:row>
    <x:row r="10">
      <x:c r="A10" s="337"/>
    </x:row>
    <x:row r="11">
      <x:c r="A11" s="337"/>
    </x:row>
    <x:row r="12">
      <x:c r="A12" s="337"/>
    </x:row>
    <x:row r="13">
      <x:c r="A13" s="337"/>
    </x:row>
    <x:row r="14">
      <x:c r="A14" s="337"/>
    </x:row>
    <x:row r="15">
      <x:c r="A15" s="337"/>
    </x:row>
    <x:row r="16">
      <x:c r="A16" s="337"/>
    </x:row>
    <x:row r="17">
      <x:c r="A17" s="337"/>
    </x:row>
    <x:row r="18">
      <x:c r="A18" s="337"/>
    </x:row>
    <x:row r="19">
      <x:c r="A19" s="337"/>
    </x:row>
    <x:row r="20">
      <x:c r="A20" s="337"/>
    </x:row>
    <x:row r="21">
      <x:c r="A21" s="337"/>
    </x:row>
    <x:row r="22">
      <x:c r="A22" s="337"/>
    </x:row>
    <x:row r="23">
      <x:c r="A23" s="337"/>
    </x:row>
    <x:row r="24">
      <x:c r="A24" s="337"/>
    </x:row>
    <x:row r="25">
      <x:c r="A25" s="337"/>
    </x:row>
    <x:row r="26">
      <x:c r="A26" s="337"/>
    </x:row>
    <x:row r="27">
      <x:c r="A27" s="337"/>
    </x:row>
    <x:row r="28">
      <x:c r="A28" s="337"/>
    </x:row>
    <x:row r="29">
      <x:c r="A29" s="337"/>
    </x:row>
    <x:row r="30">
      <x:c r="A30" s="337"/>
    </x:row>
    <x:row r="31">
      <x:c r="A31" s="337"/>
    </x:row>
    <x:row r="32">
      <x:c r="A32" s="337"/>
    </x:row>
    <x:row r="33">
      <x:c r="A33" s="337"/>
    </x:row>
    <x:row r="34">
      <x:c r="A34" s="337"/>
    </x:row>
    <x:row r="35">
      <x:c r="A35" s="337"/>
    </x:row>
    <x:row r="36">
      <x:c r="A36" s="337"/>
    </x:row>
    <x:row r="37">
      <x:c r="A37" s="337"/>
    </x:row>
    <x:row r="38">
      <x:c r="A38" s="337"/>
    </x:row>
    <x:row r="39">
      <x:c r="A39" s="337"/>
    </x:row>
    <x:row r="40">
      <x:c r="A40" s="337"/>
    </x:row>
    <x:row r="41">
      <x:c r="A41" s="337"/>
    </x:row>
    <x:row r="42">
      <x:c r="A42" s="337"/>
    </x:row>
    <x:row r="43">
      <x:c r="A43" s="337"/>
    </x:row>
    <x:row r="44">
      <x:c r="A44" s="337"/>
    </x:row>
    <x:row r="45">
      <x:c r="A45" s="337"/>
    </x:row>
    <x:row r="46">
      <x:c r="A46" s="337"/>
    </x:row>
    <x:row r="47">
      <x:c r="A47" s="337"/>
    </x:row>
    <x:row r="48">
      <x:c r="A48" s="337"/>
    </x:row>
    <x:row r="49">
      <x:c r="A49" s="337"/>
    </x:row>
    <x:row r="50">
      <x:c r="A50" s="337"/>
    </x:row>
    <x:row r="51">
      <x:c r="A51" s="337"/>
    </x:row>
    <x:row r="52">
      <x:c r="A52" s="337"/>
    </x:row>
    <x:row r="53">
      <x:c r="A53" s="337"/>
    </x:row>
    <x:row r="54">
      <x:c r="A54" s="337"/>
    </x:row>
    <x:row r="55">
      <x:c r="A55" s="337"/>
    </x:row>
    <x:row r="56">
      <x:c r="A56" s="337"/>
    </x:row>
    <x:row r="57">
      <x:c r="A57" s="337"/>
    </x:row>
    <x:row r="58">
      <x:c r="A58" s="337"/>
    </x:row>
    <x:row r="59">
      <x:c r="A59" s="337"/>
    </x:row>
    <x:row r="60">
      <x:c r="A60" s="337"/>
    </x:row>
    <x:row r="61">
      <x:c r="A61" s="337"/>
    </x:row>
    <x:row r="62">
      <x:c r="A62" s="337"/>
    </x:row>
    <x:row r="63">
      <x:c r="A63" s="337"/>
    </x:row>
    <x:row r="64">
      <x:c r="A64" s="337"/>
    </x:row>
    <x:row r="65">
      <x:c r="A65" s="337"/>
    </x:row>
    <x:row r="66">
      <x:c r="A66" s="337"/>
    </x:row>
    <x:row r="67">
      <x:c r="A67" s="337"/>
    </x:row>
    <x:row r="68">
      <x:c r="A68" s="337"/>
    </x:row>
    <x:row r="69">
      <x:c r="A69" s="337"/>
    </x:row>
    <x:row r="70">
      <x:c r="A70" s="337"/>
    </x:row>
    <x:row r="71">
      <x:c r="A71" s="337"/>
    </x:row>
    <x:row r="72">
      <x:c r="A72" s="337"/>
    </x:row>
    <x:row r="73">
      <x:c r="A73" s="337"/>
    </x:row>
    <x:row r="74">
      <x:c r="A74" s="337"/>
    </x:row>
    <x:row r="75">
      <x:c r="A75" s="337"/>
    </x:row>
    <x:row r="76">
      <x:c r="A76" s="337"/>
    </x:row>
    <x:row r="77">
      <x:c r="A77" s="337"/>
    </x:row>
    <x:row r="78">
      <x:c r="A78" s="337"/>
    </x:row>
    <x:row r="79">
      <x:c r="A79" s="337"/>
    </x:row>
    <x:row r="80">
      <x:c r="A80" s="337"/>
    </x:row>
    <x:row r="81">
      <x:c r="A81" s="337"/>
    </x:row>
    <x:row r="82">
      <x:c r="A82" s="337"/>
    </x:row>
    <x:row r="83">
      <x:c r="A83" s="337"/>
    </x:row>
    <x:row r="84">
      <x:c r="A84" s="337"/>
    </x:row>
    <x:row r="85">
      <x:c r="A85" s="337"/>
    </x:row>
    <x:row r="86">
      <x:c r="A86" s="337"/>
    </x:row>
    <x:row r="87">
      <x:c r="A87" s="337"/>
    </x:row>
    <x:row r="88">
      <x:c r="A88" s="337"/>
    </x:row>
    <x:row r="89">
      <x:c r="A89" s="337"/>
    </x:row>
    <x:row r="90">
      <x:c r="A90" s="337"/>
    </x:row>
    <x:row r="91">
      <x:c r="A91" s="337"/>
    </x:row>
    <x:row r="92">
      <x:c r="A92" s="337"/>
    </x:row>
    <x:row r="93">
      <x:c r="A93" s="337"/>
    </x:row>
    <x:row r="94">
      <x:c r="A94" s="337"/>
    </x:row>
    <x:row r="95">
      <x:c r="A95" s="337"/>
    </x:row>
    <x:row r="96">
      <x:c r="A96" s="337"/>
    </x:row>
    <x:row r="97">
      <x:c r="A97" s="337"/>
    </x:row>
    <x:row r="98">
      <x:c r="A98" s="337"/>
    </x:row>
    <x:row r="99">
      <x:c r="A99" s="337"/>
    </x:row>
    <x:row r="100">
      <x:c r="A100" s="337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103bdbcc722e498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16" hidden="0" customWidth="1"/>
    <x:col min="7" max="7" width="16" hidden="0" customWidth="1"/>
    <x:col min="8" max="8" width="19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23" hidden="0" customWidth="1"/>
  </x:cols>
  <x:sheetData>
    <x:row r="1" ht="34" customHeight="1">
      <x:c r="A1" s="374" t="str">
        <x:v>Plans and Gross Margin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6" customHeight="1">
      <x:c r="A2" s="376" t="str">
        <x:v>Planos hipotéticos para testar margem. Preços e franquias devem ser validados comercialmente.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</x:row>
    <x:row r="3" ht="28" customHeight="1">
      <x:c r="A3" s="332" t="str">
        <x:v>Plano</x:v>
      </x:c>
      <x:c r="B3" s="122" t="str">
        <x:v>Preço mensal USD</x:v>
      </x:c>
      <x:c r="C3" s="122" t="str">
        <x:v>Voz modular min</x:v>
      </x:c>
      <x:c r="D3" s="122" t="str">
        <x:v>Vídeo nativo min</x:v>
      </x:c>
      <x:c r="E3" s="122" t="str">
        <x:v>Meeting externo min</x:v>
      </x:c>
      <x:c r="F3" s="122" t="str">
        <x:v>Telefonia min</x:v>
      </x:c>
      <x:c r="G3" s="122" t="str">
        <x:v>Usage COGS</x:v>
      </x:c>
      <x:c r="H3" s="122" t="str">
        <x:v>Suporte + overhead</x:v>
      </x:c>
      <x:c r="I3" s="122" t="str">
        <x:v>Payment fees</x:v>
      </x:c>
      <x:c r="J3" s="122" t="str">
        <x:v>Total COGS</x:v>
      </x:c>
      <x:c r="K3" s="122" t="str">
        <x:v>Gross profit</x:v>
      </x:c>
      <x:c r="L3" s="122" t="str">
        <x:v>Gross margin</x:v>
      </x:c>
      <x:c r="M3" s="123" t="str">
        <x:v>Overage sugerido / min</x:v>
      </x:c>
    </x:row>
    <x:row r="4">
      <x:c r="A4" s="350" t="str">
        <x:v>Starter</x:v>
      </x:c>
      <x:c r="B4" s="272" t="n">
        <x:v>499</x:v>
      </x:c>
      <x:c r="C4" s="191" t="n">
        <x:v>300</x:v>
      </x:c>
      <x:c r="D4" s="191" t="n">
        <x:v>60</x:v>
      </x:c>
      <x:c r="E4" s="191" t="n">
        <x:v>0</x:v>
      </x:c>
      <x:c r="F4" s="191" t="n">
        <x:v>0</x:v>
      </x:c>
      <x:c r="G4" s="278" t="n">
        <x:f>C4*Native_Modular!$B$21+D4*Native_Video!$B$21+E4*External_Meeting!$B$21+F4*Telephony!$B$21</x:f>
        <x:v>45.69771461538461</x:v>
      </x:c>
      <x:c r="H4" s="278" t="n">
        <x:f>Global_Assumptions!$B$12+Global_Assumptions!$B$13/Global_Assumptions!$B$19</x:f>
        <x:v>100</x:v>
      </x:c>
      <x:c r="I4" s="278" t="n">
        <x:f>B4*Global_Assumptions!$B$14</x:f>
        <x:v>14.969999999999999</x:v>
      </x:c>
      <x:c r="J4" s="278" t="n">
        <x:f>SUM(G4:I4)</x:f>
        <x:v>160.6677146153846</x:v>
      </x:c>
      <x:c r="K4" s="278" t="n">
        <x:f>B4-J4</x:f>
        <x:v>338.3322853846154</x:v>
      </x:c>
      <x:c r="L4" s="284" t="n">
        <x:f>IFERROR(K4/B4,0)</x:f>
        <x:v>0.6780206119932172</x:v>
      </x:c>
      <x:c r="M4" s="290" t="n">
        <x:f>IFERROR((G4/SUM(C4:F4))/(1-Global_Assumptions!$B$11),0)</x:f>
        <x:v>0.42312698717948716</x:v>
      </x:c>
    </x:row>
    <x:row r="5">
      <x:c r="A5" s="351" t="str">
        <x:v>Growth</x:v>
      </x:c>
      <x:c r="B5" s="273" t="n">
        <x:v>1499</x:v>
      </x:c>
      <x:c r="C5" s="175" t="n">
        <x:v>1000</x:v>
      </x:c>
      <x:c r="D5" s="175" t="n">
        <x:v>300</x:v>
      </x:c>
      <x:c r="E5" s="175" t="n">
        <x:v>100</x:v>
      </x:c>
      <x:c r="F5" s="175" t="n">
        <x:v>100</x:v>
      </x:c>
      <x:c r="G5" s="279" t="n">
        <x:f>C5*Native_Modular!$B$21+D5*Native_Video!$B$21+E5*External_Meeting!$B$21+F5*Telephony!$B$21</x:f>
        <x:v>242.76139743589744</x:v>
      </x:c>
      <x:c r="H5" s="279" t="n">
        <x:f>Global_Assumptions!$B$12+Global_Assumptions!$B$13/Global_Assumptions!$B$19</x:f>
        <x:v>100</x:v>
      </x:c>
      <x:c r="I5" s="279" t="n">
        <x:f>B5*Global_Assumptions!$B$14</x:f>
        <x:v>44.97</x:v>
      </x:c>
      <x:c r="J5" s="279" t="n">
        <x:f>SUM(G5:I5)</x:f>
        <x:v>387.7313974358974</x:v>
      </x:c>
      <x:c r="K5" s="279" t="n">
        <x:f>B5-J5</x:f>
        <x:v>1111.2686025641026</x:v>
      </x:c>
      <x:c r="L5" s="285" t="n">
        <x:f>IFERROR(K5/B5,0)</x:f>
        <x:v>0.7413399616838576</x:v>
      </x:c>
      <x:c r="M5" s="291" t="n">
        <x:f>IFERROR((G5/SUM(C5:F5))/(1-Global_Assumptions!$B$11),0)</x:f>
        <x:v>0.539469772079772</x:v>
      </x:c>
    </x:row>
    <x:row r="6">
      <x:c r="A6" s="351" t="str">
        <x:v>Scale</x:v>
      </x:c>
      <x:c r="B6" s="273" t="n">
        <x:v>3999</x:v>
      </x:c>
      <x:c r="C6" s="175" t="n">
        <x:v>3000</x:v>
      </x:c>
      <x:c r="D6" s="175" t="n">
        <x:v>1000</x:v>
      </x:c>
      <x:c r="E6" s="175" t="n">
        <x:v>500</x:v>
      </x:c>
      <x:c r="F6" s="175" t="n">
        <x:v>500</x:v>
      </x:c>
      <x:c r="G6" s="279" t="n">
        <x:f>C6*Native_Modular!$B$21+D6*Native_Video!$B$21+E6*External_Meeting!$B$21+F6*Telephony!$B$21</x:f>
        <x:v>867.8984487179487</x:v>
      </x:c>
      <x:c r="H6" s="279" t="n">
        <x:f>Global_Assumptions!$B$12+Global_Assumptions!$B$13/Global_Assumptions!$B$19</x:f>
        <x:v>100</x:v>
      </x:c>
      <x:c r="I6" s="279" t="n">
        <x:f>B6*Global_Assumptions!$B$14</x:f>
        <x:v>119.97</x:v>
      </x:c>
      <x:c r="J6" s="279" t="n">
        <x:f>SUM(G6:I6)</x:f>
        <x:v>1087.8684487179487</x:v>
      </x:c>
      <x:c r="K6" s="279" t="n">
        <x:f>B6-J6</x:f>
        <x:v>2911.131551282051</x:v>
      </x:c>
      <x:c r="L6" s="285" t="n">
        <x:f>IFERROR(K6/B6,0)</x:f>
        <x:v>0.7279648790402728</x:v>
      </x:c>
      <x:c r="M6" s="291" t="n">
        <x:f>IFERROR((G6/SUM(C6:F6))/(1-Global_Assumptions!$B$11),0)</x:f>
        <x:v>0.5785989658119657</x:v>
      </x:c>
    </x:row>
    <x:row r="7">
      <x:c r="A7" s="352" t="str">
        <x:v>Enterprise</x:v>
      </x:c>
      <x:c r="B7" s="274" t="n">
        <x:v>9999</x:v>
      </x:c>
      <x:c r="C7" s="179" t="n">
        <x:v>8000</x:v>
      </x:c>
      <x:c r="D7" s="179" t="n">
        <x:v>3000</x:v>
      </x:c>
      <x:c r="E7" s="179" t="n">
        <x:v>1500</x:v>
      </x:c>
      <x:c r="F7" s="179" t="n">
        <x:v>1500</x:v>
      </x:c>
      <x:c r="G7" s="280" t="n">
        <x:f>C7*Native_Modular!$B$21+D7*Native_Video!$B$21+E7*External_Meeting!$B$21+F7*Telephony!$B$21</x:f>
        <x:v>2533.8838461538458</x:v>
      </x:c>
      <x:c r="H7" s="280" t="n">
        <x:f>Global_Assumptions!$B$12+Global_Assumptions!$B$13/Global_Assumptions!$B$19</x:f>
        <x:v>100</x:v>
      </x:c>
      <x:c r="I7" s="280" t="n">
        <x:f>B7*Global_Assumptions!$B$14</x:f>
        <x:v>299.96999999999997</x:v>
      </x:c>
      <x:c r="J7" s="280" t="n">
        <x:f>SUM(G7:I7)</x:f>
        <x:v>2933.8538461538456</x:v>
      </x:c>
      <x:c r="K7" s="280" t="n">
        <x:f>B7-J7</x:f>
        <x:v>7065.146153846154</x:v>
      </x:c>
      <x:c r="L7" s="286" t="n">
        <x:f>IFERROR(K7/B7,0)</x:f>
        <x:v>0.7065852739120067</x:v>
      </x:c>
      <x:c r="M7" s="292" t="n">
        <x:f>IFERROR((G7/SUM(C7:F7))/(1-Global_Assumptions!$B$11),0)</x:f>
        <x:v>0.6033056776556776</x:v>
      </x:c>
    </x:row>
    <x:row r="8">
      <x:c r="A8" s="337"/>
    </x:row>
    <x:row r="9">
      <x:c r="A9" s="337"/>
    </x:row>
    <x:row r="10">
      <x:c r="A10" s="337"/>
    </x:row>
    <x:row r="11">
      <x:c r="A11" s="337"/>
    </x:row>
    <x:row r="12">
      <x:c r="A12" s="337"/>
    </x:row>
    <x:row r="13">
      <x:c r="A13" s="337"/>
    </x:row>
    <x:row r="14">
      <x:c r="A14" s="337"/>
    </x:row>
    <x:row r="15">
      <x:c r="A15" s="337"/>
    </x:row>
    <x:row r="16">
      <x:c r="A16" s="337"/>
    </x:row>
    <x:row r="17">
      <x:c r="A17" s="337"/>
    </x:row>
    <x:row r="18">
      <x:c r="A18" s="337"/>
    </x:row>
    <x:row r="19">
      <x:c r="A19" s="337"/>
    </x:row>
    <x:row r="20">
      <x:c r="A20" s="337"/>
    </x:row>
    <x:row r="21">
      <x:c r="A21" s="337"/>
    </x:row>
    <x:row r="22">
      <x:c r="A22" s="337"/>
    </x:row>
    <x:row r="23">
      <x:c r="A23" s="337"/>
    </x:row>
    <x:row r="24">
      <x:c r="A24" s="337"/>
    </x:row>
    <x:row r="25">
      <x:c r="A25" s="337"/>
    </x:row>
    <x:row r="26">
      <x:c r="A26" s="337"/>
    </x:row>
    <x:row r="27">
      <x:c r="A27" s="337"/>
    </x:row>
    <x:row r="28">
      <x:c r="A28" s="337"/>
    </x:row>
    <x:row r="29">
      <x:c r="A29" s="337"/>
    </x:row>
    <x:row r="30">
      <x:c r="A30" s="337"/>
    </x:row>
    <x:row r="31">
      <x:c r="A31" s="337"/>
    </x:row>
    <x:row r="32">
      <x:c r="A32" s="337"/>
    </x:row>
    <x:row r="33">
      <x:c r="A33" s="337"/>
    </x:row>
    <x:row r="34">
      <x:c r="A34" s="337"/>
    </x:row>
    <x:row r="35">
      <x:c r="A35" s="337"/>
    </x:row>
    <x:row r="36">
      <x:c r="A36" s="337"/>
    </x:row>
    <x:row r="37">
      <x:c r="A37" s="337"/>
    </x:row>
    <x:row r="38">
      <x:c r="A38" s="337"/>
    </x:row>
    <x:row r="39">
      <x:c r="A39" s="337"/>
    </x:row>
    <x:row r="40">
      <x:c r="A40" s="337"/>
    </x:row>
    <x:row r="41">
      <x:c r="A41" s="337"/>
    </x:row>
    <x:row r="42">
      <x:c r="A42" s="337"/>
    </x:row>
    <x:row r="43">
      <x:c r="A43" s="337"/>
    </x:row>
    <x:row r="44">
      <x:c r="A44" s="337"/>
    </x:row>
    <x:row r="45">
      <x:c r="A45" s="337"/>
    </x:row>
    <x:row r="46">
      <x:c r="A46" s="337"/>
    </x:row>
    <x:row r="47">
      <x:c r="A47" s="337"/>
    </x:row>
    <x:row r="48">
      <x:c r="A48" s="337"/>
    </x:row>
    <x:row r="49">
      <x:c r="A49" s="337"/>
    </x:row>
    <x:row r="50">
      <x:c r="A50" s="337"/>
    </x:row>
    <x:row r="51">
      <x:c r="A51" s="337"/>
    </x:row>
    <x:row r="52">
      <x:c r="A52" s="337"/>
    </x:row>
    <x:row r="53">
      <x:c r="A53" s="337"/>
    </x:row>
    <x:row r="54">
      <x:c r="A54" s="337"/>
    </x:row>
    <x:row r="55">
      <x:c r="A55" s="337"/>
    </x:row>
    <x:row r="56">
      <x:c r="A56" s="337"/>
    </x:row>
    <x:row r="57">
      <x:c r="A57" s="337"/>
    </x:row>
    <x:row r="58">
      <x:c r="A58" s="337"/>
    </x:row>
    <x:row r="59">
      <x:c r="A59" s="337"/>
    </x:row>
    <x:row r="60">
      <x:c r="A60" s="337"/>
    </x:row>
    <x:row r="61">
      <x:c r="A61" s="337"/>
    </x:row>
    <x:row r="62">
      <x:c r="A62" s="337"/>
    </x:row>
    <x:row r="63">
      <x:c r="A63" s="337"/>
    </x:row>
    <x:row r="64">
      <x:c r="A64" s="337"/>
    </x:row>
    <x:row r="65">
      <x:c r="A65" s="337"/>
    </x:row>
    <x:row r="66">
      <x:c r="A66" s="337"/>
    </x:row>
    <x:row r="67">
      <x:c r="A67" s="337"/>
    </x:row>
    <x:row r="68">
      <x:c r="A68" s="337"/>
    </x:row>
    <x:row r="69">
      <x:c r="A69" s="337"/>
    </x:row>
    <x:row r="70">
      <x:c r="A70" s="337"/>
    </x:row>
    <x:row r="71">
      <x:c r="A71" s="337"/>
    </x:row>
    <x:row r="72">
      <x:c r="A72" s="337"/>
    </x:row>
    <x:row r="73">
      <x:c r="A73" s="337"/>
    </x:row>
    <x:row r="74">
      <x:c r="A74" s="337"/>
    </x:row>
    <x:row r="75">
      <x:c r="A75" s="337"/>
    </x:row>
    <x:row r="76">
      <x:c r="A76" s="337"/>
    </x:row>
    <x:row r="77">
      <x:c r="A77" s="337"/>
    </x:row>
    <x:row r="78">
      <x:c r="A78" s="337"/>
    </x:row>
    <x:row r="79">
      <x:c r="A79" s="337"/>
    </x:row>
    <x:row r="80">
      <x:c r="A80" s="337"/>
    </x:row>
    <x:row r="81">
      <x:c r="A81" s="337"/>
    </x:row>
    <x:row r="82">
      <x:c r="A82" s="337"/>
    </x:row>
    <x:row r="83">
      <x:c r="A83" s="337"/>
    </x:row>
    <x:row r="84">
      <x:c r="A84" s="337"/>
    </x:row>
    <x:row r="85">
      <x:c r="A85" s="337"/>
    </x:row>
    <x:row r="86">
      <x:c r="A86" s="337"/>
    </x:row>
    <x:row r="87">
      <x:c r="A87" s="337"/>
    </x:row>
    <x:row r="88">
      <x:c r="A88" s="337"/>
    </x:row>
    <x:row r="89">
      <x:c r="A89" s="337"/>
    </x:row>
    <x:row r="90">
      <x:c r="A90" s="337"/>
    </x:row>
    <x:row r="91">
      <x:c r="A91" s="337"/>
    </x:row>
    <x:row r="92">
      <x:c r="A92" s="337"/>
    </x:row>
    <x:row r="93">
      <x:c r="A93" s="337"/>
    </x:row>
    <x:row r="94">
      <x:c r="A94" s="337"/>
    </x:row>
    <x:row r="95">
      <x:c r="A95" s="337"/>
    </x:row>
    <x:row r="96">
      <x:c r="A96" s="337"/>
    </x:row>
    <x:row r="97">
      <x:c r="A97" s="337"/>
    </x:row>
    <x:row r="98">
      <x:c r="A98" s="337"/>
    </x:row>
    <x:row r="99">
      <x:c r="A99" s="337"/>
    </x:row>
    <x:row r="100">
      <x:c r="A100" s="337"/>
    </x:row>
  </x:sheetData>
  <x:mergeCells>
    <x:mergeCell ref="A1:M1"/>
    <x:mergeCell ref="A2:M2"/>
  </x:mergeCells>
  <x:conditionalFormatting sqref="L4:L7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aeae7328c4b4043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7" hidden="0" customWidth="1"/>
    <x:col min="4" max="4" width="16" hidden="0" customWidth="1"/>
    <x:col min="5" max="5" width="14" hidden="0" customWidth="1"/>
    <x:col min="6" max="6" width="27" hidden="0" customWidth="1"/>
    <x:col min="7" max="7" width="20" hidden="0" customWidth="1"/>
    <x:col min="8" max="8" width="20" hidden="0" customWidth="1"/>
  </x:cols>
  <x:sheetData>
    <x:row r="1" ht="34" customHeight="1">
      <x:c r="A1" s="374" t="str">
        <x:v>Sensitivity Analysis</x:v>
      </x:c>
      <x:c r="B1" s="5"/>
      <x:c r="C1" s="5"/>
      <x:c r="D1" s="5"/>
      <x:c r="E1" s="5"/>
      <x:c r="F1" s="5"/>
      <x:c r="G1" s="5"/>
      <x:c r="H1" s="5"/>
    </x:row>
    <x:row r="2" ht="26" customHeight="1">
      <x:c r="A2" s="376" t="str">
        <x:v>Impacto de avatar, S2S, speech ratio e reserve sobre meeting externo e plano Growth.</x:v>
      </x:c>
      <x:c r="B2" s="14"/>
      <x:c r="C2" s="14"/>
      <x:c r="D2" s="14"/>
      <x:c r="E2" s="14"/>
      <x:c r="F2" s="14"/>
      <x:c r="G2" s="14"/>
      <x:c r="H2" s="14"/>
    </x:row>
    <x:row r="3" ht="28" customHeight="1">
      <x:c r="A3" s="332" t="str">
        <x:v>Cenário</x:v>
      </x:c>
      <x:c r="B3" s="122" t="str">
        <x:v>Avatar multiplier</x:v>
      </x:c>
      <x:c r="C3" s="122" t="str">
        <x:v>S2S multiplier</x:v>
      </x:c>
      <x:c r="D3" s="122" t="str">
        <x:v>Speech ratio</x:v>
      </x:c>
      <x:c r="E3" s="122" t="str">
        <x:v>Reserve</x:v>
      </x:c>
      <x:c r="F3" s="122" t="str">
        <x:v>External meeting cost / min</x:v>
      </x:c>
      <x:c r="G3" s="122" t="str">
        <x:v>Growth total COGS</x:v>
      </x:c>
      <x:c r="H3" s="123" t="str">
        <x:v>Growth gross margin</x:v>
      </x:c>
    </x:row>
    <x:row r="4">
      <x:c r="A4" s="350" t="str">
        <x:v>Low</x:v>
      </x:c>
      <x:c r="B4" s="214" t="n">
        <x:v>0.75</x:v>
      </x:c>
      <x:c r="C4" s="214" t="n">
        <x:v>0.8</x:v>
      </x:c>
      <x:c r="D4" s="214" t="n">
        <x:v>0.45</x:v>
      </x:c>
      <x:c r="E4" s="214" t="n">
        <x:v>0.05</x:v>
      </x:c>
      <x:c r="F4" s="296" t="n">
        <x:f>((D4*Provider_Catalog!$E$4*C4)+Provider_Catalog!$E$8+(Provider_Catalog!$E$10*B4)+Provider_Catalog!$E$11+(Provider_Catalog!$E$14*Global_Assumptions!$B$9)+Provider_Catalog!$E$15+Provider_Catalog!$E$16+Provider_Catalog!$E$17)*(1+E4)</x:f>
        <x:v>0.3073431846153846</x:v>
      </x:c>
      <x:c r="G4" s="296" t="n">
        <x:f>Plans_Margin!$C$5*Native_Modular!$B$21+Plans_Margin!$D$5*(((D4*Provider_Catalog!$E$4*C4)+Provider_Catalog!$E$8+Provider_Catalog!$E$9+(Provider_Catalog!$E$10*B4)+(Provider_Catalog!$E$14*Global_Assumptions!$B$9)+Provider_Catalog!$E$15+Provider_Catalog!$E$16+Provider_Catalog!$E$17)*(1+E4))+Plans_Margin!$E$5*F4+Plans_Margin!$F$5*(((D4*Provider_Catalog!$E$4*C4)+Provider_Catalog!$E$12+Provider_Catalog!$E$13+(Provider_Catalog!$E$14*Global_Assumptions!$B$9)+Provider_Catalog!$E$15+Provider_Catalog!$E$16+Provider_Catalog!$E$17)*(1+E4))+Plans_Margin!$H$5+Plans_Margin!$B$5*Global_Assumptions!$B$14</x:f>
        <x:v>341.06155384615386</x:v>
      </x:c>
      <x:c r="H4" s="302" t="n">
        <x:f>IFERROR((Plans_Margin!$B$5-G4)/Plans_Margin!$B$5,0)</x:f>
        <x:v>0.7724739467337199</x:v>
      </x:c>
    </x:row>
    <x:row r="5">
      <x:c r="A5" s="351" t="str">
        <x:v>Base</x:v>
      </x:c>
      <x:c r="B5" s="210" t="n">
        <x:v>1</x:v>
      </x:c>
      <x:c r="C5" s="210" t="n">
        <x:v>1</x:v>
      </x:c>
      <x:c r="D5" s="210" t="n">
        <x:v>0.55</x:v>
      </x:c>
      <x:c r="E5" s="210" t="n">
        <x:v>0.1</x:v>
      </x:c>
      <x:c r="F5" s="297" t="n">
        <x:f>((D5*Provider_Catalog!$E$4*C5)+Provider_Catalog!$E$8+(Provider_Catalog!$E$10*B5)+Provider_Catalog!$E$11+(Provider_Catalog!$E$14*Global_Assumptions!$B$9)+Provider_Catalog!$E$15+Provider_Catalog!$E$16+Provider_Catalog!$E$17)*(1+E5)</x:f>
        <x:v>0.42008774358974366</x:v>
      </x:c>
      <x:c r="G5" s="297" t="n">
        <x:f>Plans_Margin!$C$5*Native_Modular!$B$21+Plans_Margin!$D$5*(((D5*Provider_Catalog!$E$4*C5)+Provider_Catalog!$E$8+Provider_Catalog!$E$9+(Provider_Catalog!$E$10*B5)+(Provider_Catalog!$E$14*Global_Assumptions!$B$9)+Provider_Catalog!$E$15+Provider_Catalog!$E$16+Provider_Catalog!$E$17)*(1+E5))+Plans_Margin!$E$5*F5+Plans_Margin!$F$5*(((D5*Provider_Catalog!$E$4*C5)+Provider_Catalog!$E$12+Provider_Catalog!$E$13+(Provider_Catalog!$E$14*Global_Assumptions!$B$9)+Provider_Catalog!$E$15+Provider_Catalog!$E$16+Provider_Catalog!$E$17)*(1+E5))+Plans_Margin!$H$5+Plans_Margin!$B$5*Global_Assumptions!$B$14</x:f>
        <x:v>387.7313974358975</x:v>
      </x:c>
      <x:c r="H5" s="303" t="n">
        <x:f>IFERROR((Plans_Margin!$B$5-G5)/Plans_Margin!$B$5,0)</x:f>
        <x:v>0.7413399616838575</x:v>
      </x:c>
    </x:row>
    <x:row r="6">
      <x:c r="A6" s="352" t="str">
        <x:v>High</x:v>
      </x:c>
      <x:c r="B6" s="215" t="n">
        <x:v>1.25</x:v>
      </x:c>
      <x:c r="C6" s="215" t="n">
        <x:v>1.3</x:v>
      </x:c>
      <x:c r="D6" s="215" t="n">
        <x:v>0.7</x:v>
      </x:c>
      <x:c r="E6" s="215" t="n">
        <x:v>0.2</x:v>
      </x:c>
      <x:c r="F6" s="298" t="n">
        <x:f>((D6*Provider_Catalog!$E$4*C6)+Provider_Catalog!$E$8+(Provider_Catalog!$E$10*B6)+Provider_Catalog!$E$11+(Provider_Catalog!$E$14*Global_Assumptions!$B$9)+Provider_Catalog!$E$15+Provider_Catalog!$E$16+Provider_Catalog!$E$17)*(1+E6)</x:f>
        <x:v>0.5790961230769232</x:v>
      </x:c>
      <x:c r="G6" s="298" t="n">
        <x:f>Plans_Margin!$C$5*Native_Modular!$B$21+Plans_Margin!$D$5*(((D6*Provider_Catalog!$E$4*C6)+Provider_Catalog!$E$8+Provider_Catalog!$E$9+(Provider_Catalog!$E$10*B6)+(Provider_Catalog!$E$14*Global_Assumptions!$B$9)+Provider_Catalog!$E$15+Provider_Catalog!$E$16+Provider_Catalog!$E$17)*(1+E6))+Plans_Margin!$E$5*F6+Plans_Margin!$F$5*(((D6*Provider_Catalog!$E$4*C6)+Provider_Catalog!$E$12+Provider_Catalog!$E$13+(Provider_Catalog!$E$14*Global_Assumptions!$B$9)+Provider_Catalog!$E$15+Provider_Catalog!$E$16+Provider_Catalog!$E$17)*(1+E6))+Plans_Margin!$H$5+Plans_Margin!$B$5*Global_Assumptions!$B$14</x:f>
        <x:v>454.70186923076926</x:v>
      </x:c>
      <x:c r="H6" s="304" t="n">
        <x:f>IFERROR((Plans_Margin!$B$5-G6)/Plans_Margin!$B$5,0)</x:f>
        <x:v>0.696663195976805</x:v>
      </x:c>
    </x:row>
    <x:row r="7">
      <x:c r="A7" s="337"/>
    </x:row>
    <x:row r="8">
      <x:c r="A8" s="337"/>
    </x:row>
    <x:row r="9">
      <x:c r="A9" s="337"/>
    </x:row>
    <x:row r="10">
      <x:c r="A10" s="337"/>
    </x:row>
    <x:row r="11">
      <x:c r="A11" s="337"/>
    </x:row>
    <x:row r="12">
      <x:c r="A12" s="337"/>
    </x:row>
    <x:row r="13">
      <x:c r="A13" s="337"/>
    </x:row>
    <x:row r="14">
      <x:c r="A14" s="337"/>
    </x:row>
    <x:row r="15">
      <x:c r="A15" s="337"/>
    </x:row>
    <x:row r="16">
      <x:c r="A16" s="337"/>
    </x:row>
    <x:row r="17">
      <x:c r="A17" s="337"/>
    </x:row>
    <x:row r="18">
      <x:c r="A18" s="337"/>
    </x:row>
    <x:row r="19">
      <x:c r="A19" s="337"/>
    </x:row>
    <x:row r="20">
      <x:c r="A20" s="337"/>
    </x:row>
    <x:row r="21">
      <x:c r="A21" s="337"/>
    </x:row>
    <x:row r="22">
      <x:c r="A22" s="337"/>
    </x:row>
    <x:row r="23">
      <x:c r="A23" s="337"/>
    </x:row>
    <x:row r="24">
      <x:c r="A24" s="337"/>
    </x:row>
    <x:row r="25">
      <x:c r="A25" s="337"/>
    </x:row>
    <x:row r="26">
      <x:c r="A26" s="337"/>
    </x:row>
    <x:row r="27">
      <x:c r="A27" s="337"/>
    </x:row>
    <x:row r="28">
      <x:c r="A28" s="337"/>
    </x:row>
    <x:row r="29">
      <x:c r="A29" s="337"/>
    </x:row>
    <x:row r="30">
      <x:c r="A30" s="337"/>
    </x:row>
    <x:row r="31">
      <x:c r="A31" s="337"/>
    </x:row>
    <x:row r="32">
      <x:c r="A32" s="337"/>
    </x:row>
    <x:row r="33">
      <x:c r="A33" s="337"/>
    </x:row>
    <x:row r="34">
      <x:c r="A34" s="337"/>
    </x:row>
    <x:row r="35">
      <x:c r="A35" s="337"/>
    </x:row>
    <x:row r="36">
      <x:c r="A36" s="337"/>
    </x:row>
    <x:row r="37">
      <x:c r="A37" s="337"/>
    </x:row>
    <x:row r="38">
      <x:c r="A38" s="337"/>
    </x:row>
    <x:row r="39">
      <x:c r="A39" s="337"/>
    </x:row>
    <x:row r="40">
      <x:c r="A40" s="337"/>
    </x:row>
    <x:row r="41">
      <x:c r="A41" s="337"/>
    </x:row>
    <x:row r="42">
      <x:c r="A42" s="337"/>
    </x:row>
    <x:row r="43">
      <x:c r="A43" s="337"/>
    </x:row>
    <x:row r="44">
      <x:c r="A44" s="337"/>
    </x:row>
    <x:row r="45">
      <x:c r="A45" s="337"/>
    </x:row>
    <x:row r="46">
      <x:c r="A46" s="337"/>
    </x:row>
    <x:row r="47">
      <x:c r="A47" s="337"/>
    </x:row>
    <x:row r="48">
      <x:c r="A48" s="337"/>
    </x:row>
    <x:row r="49">
      <x:c r="A49" s="337"/>
    </x:row>
    <x:row r="50">
      <x:c r="A50" s="337"/>
    </x:row>
    <x:row r="51">
      <x:c r="A51" s="337"/>
    </x:row>
    <x:row r="52">
      <x:c r="A52" s="337"/>
    </x:row>
    <x:row r="53">
      <x:c r="A53" s="337"/>
    </x:row>
    <x:row r="54">
      <x:c r="A54" s="337"/>
    </x:row>
    <x:row r="55">
      <x:c r="A55" s="337"/>
    </x:row>
    <x:row r="56">
      <x:c r="A56" s="337"/>
    </x:row>
    <x:row r="57">
      <x:c r="A57" s="337"/>
    </x:row>
    <x:row r="58">
      <x:c r="A58" s="337"/>
    </x:row>
    <x:row r="59">
      <x:c r="A59" s="337"/>
    </x:row>
    <x:row r="60">
      <x:c r="A60" s="337"/>
    </x:row>
    <x:row r="61">
      <x:c r="A61" s="337"/>
    </x:row>
    <x:row r="62">
      <x:c r="A62" s="337"/>
    </x:row>
    <x:row r="63">
      <x:c r="A63" s="337"/>
    </x:row>
    <x:row r="64">
      <x:c r="A64" s="337"/>
    </x:row>
    <x:row r="65">
      <x:c r="A65" s="337"/>
    </x:row>
    <x:row r="66">
      <x:c r="A66" s="337"/>
    </x:row>
    <x:row r="67">
      <x:c r="A67" s="337"/>
    </x:row>
    <x:row r="68">
      <x:c r="A68" s="337"/>
    </x:row>
    <x:row r="69">
      <x:c r="A69" s="337"/>
    </x:row>
    <x:row r="70">
      <x:c r="A70" s="337"/>
    </x:row>
    <x:row r="71">
      <x:c r="A71" s="337"/>
    </x:row>
    <x:row r="72">
      <x:c r="A72" s="337"/>
    </x:row>
    <x:row r="73">
      <x:c r="A73" s="337"/>
    </x:row>
    <x:row r="74">
      <x:c r="A74" s="337"/>
    </x:row>
    <x:row r="75">
      <x:c r="A75" s="337"/>
    </x:row>
    <x:row r="76">
      <x:c r="A76" s="337"/>
    </x:row>
    <x:row r="77">
      <x:c r="A77" s="337"/>
    </x:row>
    <x:row r="78">
      <x:c r="A78" s="337"/>
    </x:row>
    <x:row r="79">
      <x:c r="A79" s="337"/>
    </x:row>
    <x:row r="80">
      <x:c r="A80" s="337"/>
    </x:row>
    <x:row r="81">
      <x:c r="A81" s="337"/>
    </x:row>
    <x:row r="82">
      <x:c r="A82" s="337"/>
    </x:row>
    <x:row r="83">
      <x:c r="A83" s="337"/>
    </x:row>
    <x:row r="84">
      <x:c r="A84" s="337"/>
    </x:row>
    <x:row r="85">
      <x:c r="A85" s="337"/>
    </x:row>
    <x:row r="86">
      <x:c r="A86" s="337"/>
    </x:row>
    <x:row r="87">
      <x:c r="A87" s="337"/>
    </x:row>
    <x:row r="88">
      <x:c r="A88" s="337"/>
    </x:row>
    <x:row r="89">
      <x:c r="A89" s="337"/>
    </x:row>
    <x:row r="90">
      <x:c r="A90" s="337"/>
    </x:row>
    <x:row r="91">
      <x:c r="A91" s="337"/>
    </x:row>
    <x:row r="92">
      <x:c r="A92" s="337"/>
    </x:row>
    <x:row r="93">
      <x:c r="A93" s="337"/>
    </x:row>
    <x:row r="94">
      <x:c r="A94" s="337"/>
    </x:row>
    <x:row r="95">
      <x:c r="A95" s="337"/>
    </x:row>
    <x:row r="96">
      <x:c r="A96" s="337"/>
    </x:row>
    <x:row r="97">
      <x:c r="A97" s="337"/>
    </x:row>
    <x:row r="98">
      <x:c r="A98" s="337"/>
    </x:row>
    <x:row r="99">
      <x:c r="A99" s="337"/>
    </x:row>
    <x:row r="100">
      <x:c r="A100" s="337"/>
    </x:row>
  </x:sheetData>
  <x:mergeCells>
    <x:mergeCell ref="A1:H1"/>
    <x:mergeCell ref="A2:H2"/>
  </x:mergeCells>
  <x:conditionalFormatting sqref="H4:H6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7" hidden="0" customWidth="1"/>
    <x:col min="3" max="3" width="12" hidden="0" customWidth="1"/>
    <x:col min="4" max="4" width="16" hidden="0" customWidth="1"/>
    <x:col min="5" max="5" width="14" hidden="0" customWidth="1"/>
    <x:col min="6" max="6" width="18" hidden="0" customWidth="1"/>
    <x:col min="7" max="7" width="16" hidden="0" customWidth="1"/>
    <x:col min="8" max="8" width="21" hidden="0" customWidth="1"/>
    <x:col min="9" max="9" width="16" hidden="0" customWidth="1"/>
    <x:col min="10" max="10" width="13" hidden="0" customWidth="1"/>
    <x:col min="11" max="11" width="40" hidden="0" customWidth="1"/>
  </x:cols>
  <x:sheetData>
    <x:row r="1" ht="34" customHeight="1">
      <x:c r="A1" s="374" t="str">
        <x:v>Actual vs Model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6" customHeight="1">
      <x:c r="A2" s="376" t="str">
        <x:v>Cole os custos reais dos providers para calibrar as premissas e medir variância.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</x:row>
    <x:row r="3" ht="28" customHeight="1">
      <x:c r="A3" s="332" t="str">
        <x:v>Mês</x:v>
      </x:c>
      <x:c r="B3" s="122" t="str">
        <x:v>Canal</x:v>
      </x:c>
      <x:c r="C3" s="122" t="str">
        <x:v>Sessões</x:v>
      </x:c>
      <x:c r="D3" s="122" t="str">
        <x:v>Min conectados</x:v>
      </x:c>
      <x:c r="E3" s="122" t="str">
        <x:v>Min falados</x:v>
      </x:c>
      <x:c r="F3" s="122" t="str">
        <x:v>Model cost / min</x:v>
      </x:c>
      <x:c r="G3" s="122" t="str">
        <x:v>Modeled cost</x:v>
      </x:c>
      <x:c r="H3" s="122" t="str">
        <x:v>Actual provider cost</x:v>
      </x:c>
      <x:c r="I3" s="122" t="str">
        <x:v>Variance USD</x:v>
      </x:c>
      <x:c r="J3" s="122" t="str">
        <x:v>Variance %</x:v>
      </x:c>
      <x:c r="K3" s="123" t="str">
        <x:v>Notas</x:v>
      </x:c>
    </x:row>
    <x:row r="4">
      <x:c r="A4" s="362" t="n">
        <x:v>46204</x:v>
      </x:c>
      <x:c r="B4" s="191" t="str">
        <x:v>Native Modular Voice</x:v>
      </x:c>
      <x:c r="C4" s="191" t="n">
        <x:v>0</x:v>
      </x:c>
      <x:c r="D4" s="191" t="n">
        <x:v>0</x:v>
      </x:c>
      <x:c r="E4" s="191" t="n">
        <x:v>0</x:v>
      </x:c>
      <x:c r="F4" s="278" t="n">
        <x:f>IF(B4="Native Modular Voice",Native_Modular!$B$21,IF(B4="Native S2S Voice",Native_S2S!$B$21,IF(B4="Native Video",Native_Video!$B$21,IF(B4="External Meeting Video",External_Meeting!$B$21,IF(B4="Telephony Voice",Telephony!$B$21,0)))))</x:f>
        <x:v>0.06981149999999998</x:v>
      </x:c>
      <x:c r="G4" s="278" t="n">
        <x:f>D4*F4</x:f>
        <x:v>0</x:v>
      </x:c>
      <x:c r="H4" s="272" t="str"/>
      <x:c r="I4" s="278" t="n">
        <x:f>H4-G4</x:f>
        <x:v>0</x:v>
      </x:c>
      <x:c r="J4" s="284" t="n">
        <x:f>IFERROR(I4/G4,0)</x:f>
        <x:v>0</x:v>
      </x:c>
      <x:c r="K4" s="192" t="str"/>
    </x:row>
    <x:row r="5">
      <x:c r="A5" s="363" t="n">
        <x:v>46235</x:v>
      </x:c>
      <x:c r="B5" s="175" t="str">
        <x:v>Native S2S Voice</x:v>
      </x:c>
      <x:c r="C5" s="175" t="n">
        <x:v>0</x:v>
      </x:c>
      <x:c r="D5" s="175" t="n">
        <x:v>0</x:v>
      </x:c>
      <x:c r="E5" s="175" t="n">
        <x:v>0</x:v>
      </x:c>
      <x:c r="F5" s="279" t="n">
        <x:f>IF(B5="Native Modular Voice",Native_Modular!$B$21,IF(B5="Native S2S Voice",Native_S2S!$B$21,IF(B5="Native Video",Native_Video!$B$21,IF(B5="External Meeting Video",External_Meeting!$B$21,IF(B5="Telephony Voice",Telephony!$B$21,0)))))</x:f>
        <x:v>0.076648</x:v>
      </x:c>
      <x:c r="G5" s="279" t="n">
        <x:f>D5*F5</x:f>
        <x:v>0</x:v>
      </x:c>
      <x:c r="H5" s="273" t="str"/>
      <x:c r="I5" s="279" t="n">
        <x:f>H5-G5</x:f>
        <x:v>0</x:v>
      </x:c>
      <x:c r="J5" s="285" t="n">
        <x:f>IFERROR(I5/G5,0)</x:f>
        <x:v>0</x:v>
      </x:c>
      <x:c r="K5" s="177" t="str"/>
    </x:row>
    <x:row r="6">
      <x:c r="A6" s="363" t="n">
        <x:v>46266</x:v>
      </x:c>
      <x:c r="B6" s="175" t="str">
        <x:v>Native Video</x:v>
      </x:c>
      <x:c r="C6" s="175" t="n">
        <x:v>0</x:v>
      </x:c>
      <x:c r="D6" s="175" t="n">
        <x:v>0</x:v>
      </x:c>
      <x:c r="E6" s="175" t="n">
        <x:v>0</x:v>
      </x:c>
      <x:c r="F6" s="279" t="n">
        <x:f>IF(B6="Native Modular Voice",Native_Modular!$B$21,IF(B6="Native S2S Voice",Native_S2S!$B$21,IF(B6="Native Video",Native_Video!$B$21,IF(B6="External Meeting Video",External_Meeting!$B$21,IF(B6="Telephony Voice",Telephony!$B$21,0)))))</x:f>
        <x:v>0.41257107692307693</x:v>
      </x:c>
      <x:c r="G6" s="279" t="n">
        <x:f>D6*F6</x:f>
        <x:v>0</x:v>
      </x:c>
      <x:c r="H6" s="273" t="str"/>
      <x:c r="I6" s="279" t="n">
        <x:f>H6-G6</x:f>
        <x:v>0</x:v>
      </x:c>
      <x:c r="J6" s="285" t="n">
        <x:f>IFERROR(I6/G6,0)</x:f>
        <x:v>0</x:v>
      </x:c>
      <x:c r="K6" s="177" t="str"/>
    </x:row>
    <x:row r="7">
      <x:c r="A7" s="363" t="n">
        <x:v>46296</x:v>
      </x:c>
      <x:c r="B7" s="175" t="str">
        <x:v>External Meeting Video</x:v>
      </x:c>
      <x:c r="C7" s="175" t="n">
        <x:v>0</x:v>
      </x:c>
      <x:c r="D7" s="175" t="n">
        <x:v>0</x:v>
      </x:c>
      <x:c r="E7" s="175" t="n">
        <x:v>0</x:v>
      </x:c>
      <x:c r="F7" s="279" t="n">
        <x:f>IF(B7="Native Modular Voice",Native_Modular!$B$21,IF(B7="Native S2S Voice",Native_S2S!$B$21,IF(B7="Native Video",Native_Video!$B$21,IF(B7="External Meeting Video",External_Meeting!$B$21,IF(B7="Telephony Voice",Telephony!$B$21,0)))))</x:f>
        <x:v>0.42008774358974355</x:v>
      </x:c>
      <x:c r="G7" s="279" t="n">
        <x:f>D7*F7</x:f>
        <x:v>0</x:v>
      </x:c>
      <x:c r="H7" s="273" t="str"/>
      <x:c r="I7" s="279" t="n">
        <x:f>H7-G7</x:f>
        <x:v>0</x:v>
      </x:c>
      <x:c r="J7" s="285" t="n">
        <x:f>IFERROR(I7/G7,0)</x:f>
        <x:v>0</x:v>
      </x:c>
      <x:c r="K7" s="177" t="str"/>
    </x:row>
    <x:row r="8">
      <x:c r="A8" s="363" t="n">
        <x:v>46327</x:v>
      </x:c>
      <x:c r="B8" s="175" t="str">
        <x:v>Telephony Voice</x:v>
      </x:c>
      <x:c r="C8" s="175" t="n">
        <x:v>0</x:v>
      </x:c>
      <x:c r="D8" s="175" t="n">
        <x:v>0</x:v>
      </x:c>
      <x:c r="E8" s="175" t="n">
        <x:v>0</x:v>
      </x:c>
      <x:c r="F8" s="279" t="n">
        <x:f>IF(B8="Native Modular Voice",Native_Modular!$B$21,IF(B8="Native S2S Voice",Native_S2S!$B$21,IF(B8="Native Video",Native_Video!$B$21,IF(B8="External Meeting Video",External_Meeting!$B$21,IF(B8="Telephony Voice",Telephony!$B$21,0)))))</x:f>
        <x:v>0.071698</x:v>
      </x:c>
      <x:c r="G8" s="279" t="n">
        <x:f>D8*F8</x:f>
        <x:v>0</x:v>
      </x:c>
      <x:c r="H8" s="273" t="str"/>
      <x:c r="I8" s="279" t="n">
        <x:f>H8-G8</x:f>
        <x:v>0</x:v>
      </x:c>
      <x:c r="J8" s="285" t="n">
        <x:f>IFERROR(I8/G8,0)</x:f>
        <x:v>0</x:v>
      </x:c>
      <x:c r="K8" s="177" t="str"/>
    </x:row>
    <x:row r="9">
      <x:c r="A9" s="363" t="n">
        <x:v>46357</x:v>
      </x:c>
      <x:c r="B9" s="175" t="str">
        <x:v>Native Modular Voice</x:v>
      </x:c>
      <x:c r="C9" s="175" t="n">
        <x:v>0</x:v>
      </x:c>
      <x:c r="D9" s="175" t="n">
        <x:v>0</x:v>
      </x:c>
      <x:c r="E9" s="175" t="n">
        <x:v>0</x:v>
      </x:c>
      <x:c r="F9" s="279" t="n">
        <x:f>IF(B9="Native Modular Voice",Native_Modular!$B$21,IF(B9="Native S2S Voice",Native_S2S!$B$21,IF(B9="Native Video",Native_Video!$B$21,IF(B9="External Meeting Video",External_Meeting!$B$21,IF(B9="Telephony Voice",Telephony!$B$21,0)))))</x:f>
        <x:v>0.06981149999999998</x:v>
      </x:c>
      <x:c r="G9" s="279" t="n">
        <x:f>D9*F9</x:f>
        <x:v>0</x:v>
      </x:c>
      <x:c r="H9" s="273" t="str"/>
      <x:c r="I9" s="279" t="n">
        <x:f>H9-G9</x:f>
        <x:v>0</x:v>
      </x:c>
      <x:c r="J9" s="285" t="n">
        <x:f>IFERROR(I9/G9,0)</x:f>
        <x:v>0</x:v>
      </x:c>
      <x:c r="K9" s="177" t="str"/>
    </x:row>
    <x:row r="10">
      <x:c r="A10" s="363" t="n">
        <x:v>46388</x:v>
      </x:c>
      <x:c r="B10" s="175" t="str">
        <x:v>Native S2S Voice</x:v>
      </x:c>
      <x:c r="C10" s="175" t="n">
        <x:v>0</x:v>
      </x:c>
      <x:c r="D10" s="175" t="n">
        <x:v>0</x:v>
      </x:c>
      <x:c r="E10" s="175" t="n">
        <x:v>0</x:v>
      </x:c>
      <x:c r="F10" s="279" t="n">
        <x:f>IF(B10="Native Modular Voice",Native_Modular!$B$21,IF(B10="Native S2S Voice",Native_S2S!$B$21,IF(B10="Native Video",Native_Video!$B$21,IF(B10="External Meeting Video",External_Meeting!$B$21,IF(B10="Telephony Voice",Telephony!$B$21,0)))))</x:f>
        <x:v>0.076648</x:v>
      </x:c>
      <x:c r="G10" s="279" t="n">
        <x:f>D10*F10</x:f>
        <x:v>0</x:v>
      </x:c>
      <x:c r="H10" s="273" t="str"/>
      <x:c r="I10" s="279" t="n">
        <x:f>H10-G10</x:f>
        <x:v>0</x:v>
      </x:c>
      <x:c r="J10" s="285" t="n">
        <x:f>IFERROR(I10/G10,0)</x:f>
        <x:v>0</x:v>
      </x:c>
      <x:c r="K10" s="177" t="str"/>
    </x:row>
    <x:row r="11">
      <x:c r="A11" s="363" t="n">
        <x:v>46419</x:v>
      </x:c>
      <x:c r="B11" s="175" t="str">
        <x:v>Native Video</x:v>
      </x:c>
      <x:c r="C11" s="175" t="n">
        <x:v>0</x:v>
      </x:c>
      <x:c r="D11" s="175" t="n">
        <x:v>0</x:v>
      </x:c>
      <x:c r="E11" s="175" t="n">
        <x:v>0</x:v>
      </x:c>
      <x:c r="F11" s="279" t="n">
        <x:f>IF(B11="Native Modular Voice",Native_Modular!$B$21,IF(B11="Native S2S Voice",Native_S2S!$B$21,IF(B11="Native Video",Native_Video!$B$21,IF(B11="External Meeting Video",External_Meeting!$B$21,IF(B11="Telephony Voice",Telephony!$B$21,0)))))</x:f>
        <x:v>0.41257107692307693</x:v>
      </x:c>
      <x:c r="G11" s="279" t="n">
        <x:f>D11*F11</x:f>
        <x:v>0</x:v>
      </x:c>
      <x:c r="H11" s="273" t="str"/>
      <x:c r="I11" s="279" t="n">
        <x:f>H11-G11</x:f>
        <x:v>0</x:v>
      </x:c>
      <x:c r="J11" s="285" t="n">
        <x:f>IFERROR(I11/G11,0)</x:f>
        <x:v>0</x:v>
      </x:c>
      <x:c r="K11" s="177" t="str"/>
    </x:row>
    <x:row r="12">
      <x:c r="A12" s="363" t="n">
        <x:v>46447</x:v>
      </x:c>
      <x:c r="B12" s="175" t="str">
        <x:v>External Meeting Video</x:v>
      </x:c>
      <x:c r="C12" s="175" t="n">
        <x:v>0</x:v>
      </x:c>
      <x:c r="D12" s="175" t="n">
        <x:v>0</x:v>
      </x:c>
      <x:c r="E12" s="175" t="n">
        <x:v>0</x:v>
      </x:c>
      <x:c r="F12" s="279" t="n">
        <x:f>IF(B12="Native Modular Voice",Native_Modular!$B$21,IF(B12="Native S2S Voice",Native_S2S!$B$21,IF(B12="Native Video",Native_Video!$B$21,IF(B12="External Meeting Video",External_Meeting!$B$21,IF(B12="Telephony Voice",Telephony!$B$21,0)))))</x:f>
        <x:v>0.42008774358974355</x:v>
      </x:c>
      <x:c r="G12" s="279" t="n">
        <x:f>D12*F12</x:f>
        <x:v>0</x:v>
      </x:c>
      <x:c r="H12" s="273" t="str"/>
      <x:c r="I12" s="279" t="n">
        <x:f>H12-G12</x:f>
        <x:v>0</x:v>
      </x:c>
      <x:c r="J12" s="285" t="n">
        <x:f>IFERROR(I12/G12,0)</x:f>
        <x:v>0</x:v>
      </x:c>
      <x:c r="K12" s="177" t="str"/>
    </x:row>
    <x:row r="13">
      <x:c r="A13" s="363" t="n">
        <x:v>46478</x:v>
      </x:c>
      <x:c r="B13" s="175" t="str">
        <x:v>Telephony Voice</x:v>
      </x:c>
      <x:c r="C13" s="175" t="n">
        <x:v>0</x:v>
      </x:c>
      <x:c r="D13" s="175" t="n">
        <x:v>0</x:v>
      </x:c>
      <x:c r="E13" s="175" t="n">
        <x:v>0</x:v>
      </x:c>
      <x:c r="F13" s="279" t="n">
        <x:f>IF(B13="Native Modular Voice",Native_Modular!$B$21,IF(B13="Native S2S Voice",Native_S2S!$B$21,IF(B13="Native Video",Native_Video!$B$21,IF(B13="External Meeting Video",External_Meeting!$B$21,IF(B13="Telephony Voice",Telephony!$B$21,0)))))</x:f>
        <x:v>0.071698</x:v>
      </x:c>
      <x:c r="G13" s="279" t="n">
        <x:f>D13*F13</x:f>
        <x:v>0</x:v>
      </x:c>
      <x:c r="H13" s="273" t="str"/>
      <x:c r="I13" s="279" t="n">
        <x:f>H13-G13</x:f>
        <x:v>0</x:v>
      </x:c>
      <x:c r="J13" s="285" t="n">
        <x:f>IFERROR(I13/G13,0)</x:f>
        <x:v>0</x:v>
      </x:c>
      <x:c r="K13" s="177" t="str"/>
    </x:row>
    <x:row r="14">
      <x:c r="A14" s="363" t="n">
        <x:v>46508</x:v>
      </x:c>
      <x:c r="B14" s="175" t="str">
        <x:v>Native Modular Voice</x:v>
      </x:c>
      <x:c r="C14" s="175" t="n">
        <x:v>0</x:v>
      </x:c>
      <x:c r="D14" s="175" t="n">
        <x:v>0</x:v>
      </x:c>
      <x:c r="E14" s="175" t="n">
        <x:v>0</x:v>
      </x:c>
      <x:c r="F14" s="279" t="n">
        <x:f>IF(B14="Native Modular Voice",Native_Modular!$B$21,IF(B14="Native S2S Voice",Native_S2S!$B$21,IF(B14="Native Video",Native_Video!$B$21,IF(B14="External Meeting Video",External_Meeting!$B$21,IF(B14="Telephony Voice",Telephony!$B$21,0)))))</x:f>
        <x:v>0.06981149999999998</x:v>
      </x:c>
      <x:c r="G14" s="279" t="n">
        <x:f>D14*F14</x:f>
        <x:v>0</x:v>
      </x:c>
      <x:c r="H14" s="273" t="str"/>
      <x:c r="I14" s="279" t="n">
        <x:f>H14-G14</x:f>
        <x:v>0</x:v>
      </x:c>
      <x:c r="J14" s="285" t="n">
        <x:f>IFERROR(I14/G14,0)</x:f>
        <x:v>0</x:v>
      </x:c>
      <x:c r="K14" s="177" t="str"/>
    </x:row>
    <x:row r="15">
      <x:c r="A15" s="363" t="n">
        <x:v>46539</x:v>
      </x:c>
      <x:c r="B15" s="175" t="str">
        <x:v>Native S2S Voice</x:v>
      </x:c>
      <x:c r="C15" s="175" t="n">
        <x:v>0</x:v>
      </x:c>
      <x:c r="D15" s="175" t="n">
        <x:v>0</x:v>
      </x:c>
      <x:c r="E15" s="175" t="n">
        <x:v>0</x:v>
      </x:c>
      <x:c r="F15" s="279" t="n">
        <x:f>IF(B15="Native Modular Voice",Native_Modular!$B$21,IF(B15="Native S2S Voice",Native_S2S!$B$21,IF(B15="Native Video",Native_Video!$B$21,IF(B15="External Meeting Video",External_Meeting!$B$21,IF(B15="Telephony Voice",Telephony!$B$21,0)))))</x:f>
        <x:v>0.076648</x:v>
      </x:c>
      <x:c r="G15" s="279" t="n">
        <x:f>D15*F15</x:f>
        <x:v>0</x:v>
      </x:c>
      <x:c r="H15" s="273" t="str"/>
      <x:c r="I15" s="279" t="n">
        <x:f>H15-G15</x:f>
        <x:v>0</x:v>
      </x:c>
      <x:c r="J15" s="285" t="n">
        <x:f>IFERROR(I15/G15,0)</x:f>
        <x:v>0</x:v>
      </x:c>
      <x:c r="K15" s="177" t="str"/>
    </x:row>
    <x:row r="16">
      <x:c r="A16" s="363" t="n">
        <x:v>46569</x:v>
      </x:c>
      <x:c r="B16" s="175" t="str">
        <x:v>Native Video</x:v>
      </x:c>
      <x:c r="C16" s="175" t="n">
        <x:v>0</x:v>
      </x:c>
      <x:c r="D16" s="175" t="n">
        <x:v>0</x:v>
      </x:c>
      <x:c r="E16" s="175" t="n">
        <x:v>0</x:v>
      </x:c>
      <x:c r="F16" s="279" t="n">
        <x:f>IF(B16="Native Modular Voice",Native_Modular!$B$21,IF(B16="Native S2S Voice",Native_S2S!$B$21,IF(B16="Native Video",Native_Video!$B$21,IF(B16="External Meeting Video",External_Meeting!$B$21,IF(B16="Telephony Voice",Telephony!$B$21,0)))))</x:f>
        <x:v>0.41257107692307693</x:v>
      </x:c>
      <x:c r="G16" s="279" t="n">
        <x:f>D16*F16</x:f>
        <x:v>0</x:v>
      </x:c>
      <x:c r="H16" s="273" t="str"/>
      <x:c r="I16" s="279" t="n">
        <x:f>H16-G16</x:f>
        <x:v>0</x:v>
      </x:c>
      <x:c r="J16" s="285" t="n">
        <x:f>IFERROR(I16/G16,0)</x:f>
        <x:v>0</x:v>
      </x:c>
      <x:c r="K16" s="177" t="str"/>
    </x:row>
    <x:row r="17">
      <x:c r="A17" s="363" t="n">
        <x:v>46600</x:v>
      </x:c>
      <x:c r="B17" s="175" t="str">
        <x:v>External Meeting Video</x:v>
      </x:c>
      <x:c r="C17" s="175" t="n">
        <x:v>0</x:v>
      </x:c>
      <x:c r="D17" s="175" t="n">
        <x:v>0</x:v>
      </x:c>
      <x:c r="E17" s="175" t="n">
        <x:v>0</x:v>
      </x:c>
      <x:c r="F17" s="279" t="n">
        <x:f>IF(B17="Native Modular Voice",Native_Modular!$B$21,IF(B17="Native S2S Voice",Native_S2S!$B$21,IF(B17="Native Video",Native_Video!$B$21,IF(B17="External Meeting Video",External_Meeting!$B$21,IF(B17="Telephony Voice",Telephony!$B$21,0)))))</x:f>
        <x:v>0.42008774358974355</x:v>
      </x:c>
      <x:c r="G17" s="279" t="n">
        <x:f>D17*F17</x:f>
        <x:v>0</x:v>
      </x:c>
      <x:c r="H17" s="273" t="str"/>
      <x:c r="I17" s="279" t="n">
        <x:f>H17-G17</x:f>
        <x:v>0</x:v>
      </x:c>
      <x:c r="J17" s="285" t="n">
        <x:f>IFERROR(I17/G17,0)</x:f>
        <x:v>0</x:v>
      </x:c>
      <x:c r="K17" s="177" t="str"/>
    </x:row>
    <x:row r="18">
      <x:c r="A18" s="363" t="n">
        <x:v>46631</x:v>
      </x:c>
      <x:c r="B18" s="175" t="str">
        <x:v>Telephony Voice</x:v>
      </x:c>
      <x:c r="C18" s="175" t="n">
        <x:v>0</x:v>
      </x:c>
      <x:c r="D18" s="175" t="n">
        <x:v>0</x:v>
      </x:c>
      <x:c r="E18" s="175" t="n">
        <x:v>0</x:v>
      </x:c>
      <x:c r="F18" s="279" t="n">
        <x:f>IF(B18="Native Modular Voice",Native_Modular!$B$21,IF(B18="Native S2S Voice",Native_S2S!$B$21,IF(B18="Native Video",Native_Video!$B$21,IF(B18="External Meeting Video",External_Meeting!$B$21,IF(B18="Telephony Voice",Telephony!$B$21,0)))))</x:f>
        <x:v>0.071698</x:v>
      </x:c>
      <x:c r="G18" s="279" t="n">
        <x:f>D18*F18</x:f>
        <x:v>0</x:v>
      </x:c>
      <x:c r="H18" s="273" t="str"/>
      <x:c r="I18" s="279" t="n">
        <x:f>H18-G18</x:f>
        <x:v>0</x:v>
      </x:c>
      <x:c r="J18" s="285" t="n">
        <x:f>IFERROR(I18/G18,0)</x:f>
        <x:v>0</x:v>
      </x:c>
      <x:c r="K18" s="177" t="str"/>
    </x:row>
    <x:row r="19">
      <x:c r="A19" s="363" t="n">
        <x:v>46661</x:v>
      </x:c>
      <x:c r="B19" s="175" t="str">
        <x:v>Native Modular Voice</x:v>
      </x:c>
      <x:c r="C19" s="175" t="n">
        <x:v>0</x:v>
      </x:c>
      <x:c r="D19" s="175" t="n">
        <x:v>0</x:v>
      </x:c>
      <x:c r="E19" s="175" t="n">
        <x:v>0</x:v>
      </x:c>
      <x:c r="F19" s="279" t="n">
        <x:f>IF(B19="Native Modular Voice",Native_Modular!$B$21,IF(B19="Native S2S Voice",Native_S2S!$B$21,IF(B19="Native Video",Native_Video!$B$21,IF(B19="External Meeting Video",External_Meeting!$B$21,IF(B19="Telephony Voice",Telephony!$B$21,0)))))</x:f>
        <x:v>0.06981149999999998</x:v>
      </x:c>
      <x:c r="G19" s="279" t="n">
        <x:f>D19*F19</x:f>
        <x:v>0</x:v>
      </x:c>
      <x:c r="H19" s="273" t="str"/>
      <x:c r="I19" s="279" t="n">
        <x:f>H19-G19</x:f>
        <x:v>0</x:v>
      </x:c>
      <x:c r="J19" s="285" t="n">
        <x:f>IFERROR(I19/G19,0)</x:f>
        <x:v>0</x:v>
      </x:c>
      <x:c r="K19" s="177" t="str"/>
    </x:row>
    <x:row r="20">
      <x:c r="A20" s="363" t="n">
        <x:v>46692</x:v>
      </x:c>
      <x:c r="B20" s="175" t="str">
        <x:v>Native S2S Voice</x:v>
      </x:c>
      <x:c r="C20" s="175" t="n">
        <x:v>0</x:v>
      </x:c>
      <x:c r="D20" s="175" t="n">
        <x:v>0</x:v>
      </x:c>
      <x:c r="E20" s="175" t="n">
        <x:v>0</x:v>
      </x:c>
      <x:c r="F20" s="279" t="n">
        <x:f>IF(B20="Native Modular Voice",Native_Modular!$B$21,IF(B20="Native S2S Voice",Native_S2S!$B$21,IF(B20="Native Video",Native_Video!$B$21,IF(B20="External Meeting Video",External_Meeting!$B$21,IF(B20="Telephony Voice",Telephony!$B$21,0)))))</x:f>
        <x:v>0.076648</x:v>
      </x:c>
      <x:c r="G20" s="279" t="n">
        <x:f>D20*F20</x:f>
        <x:v>0</x:v>
      </x:c>
      <x:c r="H20" s="273" t="str"/>
      <x:c r="I20" s="279" t="n">
        <x:f>H20-G20</x:f>
        <x:v>0</x:v>
      </x:c>
      <x:c r="J20" s="285" t="n">
        <x:f>IFERROR(I20/G20,0)</x:f>
        <x:v>0</x:v>
      </x:c>
      <x:c r="K20" s="177" t="str"/>
    </x:row>
    <x:row r="21">
      <x:c r="A21" s="363" t="n">
        <x:v>46722</x:v>
      </x:c>
      <x:c r="B21" s="175" t="str">
        <x:v>Native Video</x:v>
      </x:c>
      <x:c r="C21" s="175" t="n">
        <x:v>0</x:v>
      </x:c>
      <x:c r="D21" s="175" t="n">
        <x:v>0</x:v>
      </x:c>
      <x:c r="E21" s="175" t="n">
        <x:v>0</x:v>
      </x:c>
      <x:c r="F21" s="279" t="n">
        <x:f>IF(B21="Native Modular Voice",Native_Modular!$B$21,IF(B21="Native S2S Voice",Native_S2S!$B$21,IF(B21="Native Video",Native_Video!$B$21,IF(B21="External Meeting Video",External_Meeting!$B$21,IF(B21="Telephony Voice",Telephony!$B$21,0)))))</x:f>
        <x:v>0.41257107692307693</x:v>
      </x:c>
      <x:c r="G21" s="279" t="n">
        <x:f>D21*F21</x:f>
        <x:v>0</x:v>
      </x:c>
      <x:c r="H21" s="273" t="str"/>
      <x:c r="I21" s="279" t="n">
        <x:f>H21-G21</x:f>
        <x:v>0</x:v>
      </x:c>
      <x:c r="J21" s="285" t="n">
        <x:f>IFERROR(I21/G21,0)</x:f>
        <x:v>0</x:v>
      </x:c>
      <x:c r="K21" s="177" t="str"/>
    </x:row>
    <x:row r="22">
      <x:c r="A22" s="363" t="n">
        <x:v>46753</x:v>
      </x:c>
      <x:c r="B22" s="175" t="str">
        <x:v>External Meeting Video</x:v>
      </x:c>
      <x:c r="C22" s="175" t="n">
        <x:v>0</x:v>
      </x:c>
      <x:c r="D22" s="175" t="n">
        <x:v>0</x:v>
      </x:c>
      <x:c r="E22" s="175" t="n">
        <x:v>0</x:v>
      </x:c>
      <x:c r="F22" s="279" t="n">
        <x:f>IF(B22="Native Modular Voice",Native_Modular!$B$21,IF(B22="Native S2S Voice",Native_S2S!$B$21,IF(B22="Native Video",Native_Video!$B$21,IF(B22="External Meeting Video",External_Meeting!$B$21,IF(B22="Telephony Voice",Telephony!$B$21,0)))))</x:f>
        <x:v>0.42008774358974355</x:v>
      </x:c>
      <x:c r="G22" s="279" t="n">
        <x:f>D22*F22</x:f>
        <x:v>0</x:v>
      </x:c>
      <x:c r="H22" s="273" t="str"/>
      <x:c r="I22" s="279" t="n">
        <x:f>H22-G22</x:f>
        <x:v>0</x:v>
      </x:c>
      <x:c r="J22" s="285" t="n">
        <x:f>IFERROR(I22/G22,0)</x:f>
        <x:v>0</x:v>
      </x:c>
      <x:c r="K22" s="177" t="str"/>
    </x:row>
    <x:row r="23">
      <x:c r="A23" s="364" t="n">
        <x:v>46784</x:v>
      </x:c>
      <x:c r="B23" s="179" t="str">
        <x:v>Telephony Voice</x:v>
      </x:c>
      <x:c r="C23" s="179" t="n">
        <x:v>0</x:v>
      </x:c>
      <x:c r="D23" s="179" t="n">
        <x:v>0</x:v>
      </x:c>
      <x:c r="E23" s="179" t="n">
        <x:v>0</x:v>
      </x:c>
      <x:c r="F23" s="280" t="n">
        <x:f>IF(B23="Native Modular Voice",Native_Modular!$B$21,IF(B23="Native S2S Voice",Native_S2S!$B$21,IF(B23="Native Video",Native_Video!$B$21,IF(B23="External Meeting Video",External_Meeting!$B$21,IF(B23="Telephony Voice",Telephony!$B$21,0)))))</x:f>
        <x:v>0.071698</x:v>
      </x:c>
      <x:c r="G23" s="280" t="n">
        <x:f>D23*F23</x:f>
        <x:v>0</x:v>
      </x:c>
      <x:c r="H23" s="274" t="str"/>
      <x:c r="I23" s="280" t="n">
        <x:f>H23-G23</x:f>
        <x:v>0</x:v>
      </x:c>
      <x:c r="J23" s="286" t="n">
        <x:f>IFERROR(I23/G23,0)</x:f>
        <x:v>0</x:v>
      </x:c>
      <x:c r="K23" s="181" t="str"/>
    </x:row>
    <x:row r="24">
      <x:c r="A24" s="337"/>
    </x:row>
    <x:row r="25">
      <x:c r="A25" s="337"/>
    </x:row>
    <x:row r="26">
      <x:c r="A26" s="337"/>
    </x:row>
    <x:row r="27">
      <x:c r="A27" s="337"/>
    </x:row>
    <x:row r="28">
      <x:c r="A28" s="337"/>
    </x:row>
    <x:row r="29">
      <x:c r="A29" s="337"/>
    </x:row>
    <x:row r="30">
      <x:c r="A30" s="337"/>
    </x:row>
    <x:row r="31">
      <x:c r="A31" s="337"/>
    </x:row>
    <x:row r="32">
      <x:c r="A32" s="337"/>
    </x:row>
    <x:row r="33">
      <x:c r="A33" s="337"/>
    </x:row>
    <x:row r="34">
      <x:c r="A34" s="337"/>
    </x:row>
    <x:row r="35">
      <x:c r="A35" s="337"/>
    </x:row>
    <x:row r="36">
      <x:c r="A36" s="337"/>
    </x:row>
    <x:row r="37">
      <x:c r="A37" s="337"/>
    </x:row>
    <x:row r="38">
      <x:c r="A38" s="337"/>
    </x:row>
    <x:row r="39">
      <x:c r="A39" s="337"/>
    </x:row>
    <x:row r="40">
      <x:c r="A40" s="337"/>
    </x:row>
    <x:row r="41">
      <x:c r="A41" s="337"/>
    </x:row>
    <x:row r="42">
      <x:c r="A42" s="337"/>
    </x:row>
    <x:row r="43">
      <x:c r="A43" s="337"/>
    </x:row>
    <x:row r="44">
      <x:c r="A44" s="337"/>
    </x:row>
    <x:row r="45">
      <x:c r="A45" s="337"/>
    </x:row>
    <x:row r="46">
      <x:c r="A46" s="337"/>
    </x:row>
    <x:row r="47">
      <x:c r="A47" s="337"/>
    </x:row>
    <x:row r="48">
      <x:c r="A48" s="337"/>
    </x:row>
    <x:row r="49">
      <x:c r="A49" s="337"/>
    </x:row>
    <x:row r="50">
      <x:c r="A50" s="337"/>
    </x:row>
    <x:row r="51">
      <x:c r="A51" s="337"/>
    </x:row>
    <x:row r="52">
      <x:c r="A52" s="337"/>
    </x:row>
    <x:row r="53">
      <x:c r="A53" s="337"/>
    </x:row>
    <x:row r="54">
      <x:c r="A54" s="337"/>
    </x:row>
    <x:row r="55">
      <x:c r="A55" s="337"/>
    </x:row>
    <x:row r="56">
      <x:c r="A56" s="337"/>
    </x:row>
    <x:row r="57">
      <x:c r="A57" s="337"/>
    </x:row>
    <x:row r="58">
      <x:c r="A58" s="337"/>
    </x:row>
    <x:row r="59">
      <x:c r="A59" s="337"/>
    </x:row>
    <x:row r="60">
      <x:c r="A60" s="337"/>
    </x:row>
    <x:row r="61">
      <x:c r="A61" s="337"/>
    </x:row>
    <x:row r="62">
      <x:c r="A62" s="337"/>
    </x:row>
    <x:row r="63">
      <x:c r="A63" s="337"/>
    </x:row>
    <x:row r="64">
      <x:c r="A64" s="337"/>
    </x:row>
    <x:row r="65">
      <x:c r="A65" s="337"/>
    </x:row>
    <x:row r="66">
      <x:c r="A66" s="337"/>
    </x:row>
    <x:row r="67">
      <x:c r="A67" s="337"/>
    </x:row>
    <x:row r="68">
      <x:c r="A68" s="337"/>
    </x:row>
    <x:row r="69">
      <x:c r="A69" s="337"/>
    </x:row>
    <x:row r="70">
      <x:c r="A70" s="337"/>
    </x:row>
    <x:row r="71">
      <x:c r="A71" s="337"/>
    </x:row>
    <x:row r="72">
      <x:c r="A72" s="337"/>
    </x:row>
    <x:row r="73">
      <x:c r="A73" s="337"/>
    </x:row>
    <x:row r="74">
      <x:c r="A74" s="337"/>
    </x:row>
    <x:row r="75">
      <x:c r="A75" s="337"/>
    </x:row>
    <x:row r="76">
      <x:c r="A76" s="337"/>
    </x:row>
    <x:row r="77">
      <x:c r="A77" s="337"/>
    </x:row>
    <x:row r="78">
      <x:c r="A78" s="337"/>
    </x:row>
    <x:row r="79">
      <x:c r="A79" s="337"/>
    </x:row>
    <x:row r="80">
      <x:c r="A80" s="337"/>
    </x:row>
    <x:row r="81">
      <x:c r="A81" s="337"/>
    </x:row>
    <x:row r="82">
      <x:c r="A82" s="337"/>
    </x:row>
    <x:row r="83">
      <x:c r="A83" s="337"/>
    </x:row>
    <x:row r="84">
      <x:c r="A84" s="337"/>
    </x:row>
    <x:row r="85">
      <x:c r="A85" s="337"/>
    </x:row>
    <x:row r="86">
      <x:c r="A86" s="337"/>
    </x:row>
    <x:row r="87">
      <x:c r="A87" s="337"/>
    </x:row>
    <x:row r="88">
      <x:c r="A88" s="337"/>
    </x:row>
    <x:row r="89">
      <x:c r="A89" s="337"/>
    </x:row>
    <x:row r="90">
      <x:c r="A90" s="337"/>
    </x:row>
    <x:row r="91">
      <x:c r="A91" s="337"/>
    </x:row>
    <x:row r="92">
      <x:c r="A92" s="337"/>
    </x:row>
    <x:row r="93">
      <x:c r="A93" s="337"/>
    </x:row>
    <x:row r="94">
      <x:c r="A94" s="337"/>
    </x:row>
    <x:row r="95">
      <x:c r="A95" s="337"/>
    </x:row>
    <x:row r="96">
      <x:c r="A96" s="337"/>
    </x:row>
    <x:row r="97">
      <x:c r="A97" s="337"/>
    </x:row>
    <x:row r="98">
      <x:c r="A98" s="337"/>
    </x:row>
    <x:row r="99">
      <x:c r="A99" s="337"/>
    </x:row>
    <x:row r="100">
      <x:c r="A100" s="337"/>
    </x:row>
  </x:sheetData>
  <x:mergeCells>
    <x:mergeCell ref="A1:K1"/>
    <x:mergeCell ref="A2:K2"/>
  </x:mergeCells>
  <x:conditionalFormatting sqref="J4:J23">
    <x:cfRule type="colorScale" priority="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dataValidations count="1">
    <x:dataValidation type="list" sqref="B4:B23">
      <x:formula1>"Native Modular Voice,Native S2S Voice,Native Video,External Meeting Video,Telephony Voice"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ad3d34b7d0490f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37" hidden="0" customWidth="1"/>
    <x:col min="4" max="4" width="18" hidden="0" customWidth="1"/>
    <x:col min="5" max="5" width="18" hidden="0" customWidth="1"/>
  </x:cols>
  <x:sheetData>
    <x:row r="1" ht="34" customHeight="1">
      <x:c r="A1" s="374" t="str">
        <x:v>Unit Economics Dashboard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6" customHeight="1">
      <x:c r="A2" s="376" t="str">
        <x:v>Resumo executivo dos custos de canal, margem dos planos e capacidade.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</x:row>
    <x:row r="3" ht="28" customHeight="1">
      <x:c r="A3" s="332" t="str">
        <x:v>KPI</x:v>
      </x:c>
      <x:c r="B3" s="122" t="str">
        <x:v>Valor</x:v>
      </x:c>
      <x:c r="C3" s="123" t="str">
        <x:v>Leitura</x:v>
      </x:c>
    </x:row>
    <x:row r="4">
      <x:c r="A4" s="378" t="str">
        <x:v>Canal mais barato</x:v>
      </x:c>
      <x:c r="B4" s="89" t="str">
        <x:f>INDEX(A14:A18,MATCH(MIN(B14:B18),B14:B18,0))</x:f>
        <x:v>Native Modular Voice</x:v>
      </x:c>
      <x:c r="C4" s="90" t="str">
        <x:v>Menor custo variável por minuto conectado</x:v>
      </x:c>
    </x:row>
    <x:row r="5">
      <x:c r="A5" s="379" t="str">
        <x:v>Menor custo / min</x:v>
      </x:c>
      <x:c r="B5" s="249" t="n">
        <x:f>MIN(B14:B18)</x:f>
        <x:v>0.06981149999999998</x:v>
      </x:c>
      <x:c r="C5" s="143" t="str">
        <x:v>USD</x:v>
      </x:c>
    </x:row>
    <x:row r="6">
      <x:c r="A6" s="379" t="str">
        <x:v>Meeting externo / min</x:v>
      </x:c>
      <x:c r="B6" s="249" t="n">
        <x:f>External_Meeting!$B$21</x:f>
        <x:v>0.42008774358974355</x:v>
      </x:c>
      <x:c r="C6" s="143" t="str">
        <x:v>Inclui avatar e meeting bot</x:v>
      </x:c>
    </x:row>
    <x:row r="7">
      <x:c r="A7" s="379" t="str">
        <x:v>Growth gross margin</x:v>
      </x:c>
      <x:c r="B7" s="285" t="n">
        <x:f>Plans_Margin!$L$5</x:f>
        <x:v>0.7413399616838576</x:v>
      </x:c>
      <x:c r="C7" s="143" t="str">
        <x:v>Hipótese de plano</x:v>
      </x:c>
    </x:row>
    <x:row r="8">
      <x:c r="A8" s="379" t="str">
        <x:v>Maior margem de plano</x:v>
      </x:c>
      <x:c r="B8" s="285" t="n">
        <x:f>MAX(E14:E17)</x:f>
        <x:v>0.7413399616838576</x:v>
      </x:c>
      <x:c r="C8" s="143" t="str">
        <x:v>Entre os quatro planos</x:v>
      </x:c>
    </x:row>
    <x:row r="9">
      <x:c r="A9" s="380" t="str">
        <x:v>Base capacity minutes / month</x:v>
      </x:c>
      <x:c r="B9" s="322" t="n">
        <x:f>Capacity!$E$5</x:f>
        <x:v>306600</x:v>
      </x:c>
      <x:c r="C9" s="93" t="str">
        <x:v>Capacidade conectada no cenário base</x:v>
      </x:c>
    </x:row>
    <x:row r="10">
      <x:c r="A10" s="337"/>
    </x:row>
    <x:row r="11">
      <x:c r="A11" s="337"/>
    </x:row>
    <x:row r="12">
      <x:c r="A12" s="337"/>
    </x:row>
    <x:row r="13" ht="28" customHeight="1">
      <x:c r="A13" s="332" t="str">
        <x:v>Canal</x:v>
      </x:c>
      <x:c r="B13" s="123" t="str">
        <x:v>Custo / min conectado</x:v>
      </x:c>
      <x:c r="D13" s="121" t="str">
        <x:v>Plano</x:v>
      </x:c>
      <x:c r="E13" s="123" t="str">
        <x:v>Gross margin</x:v>
      </x:c>
    </x:row>
    <x:row r="14">
      <x:c r="A14" s="350" t="str">
        <x:v>Native Modular Voice</x:v>
      </x:c>
      <x:c r="B14" s="324" t="n">
        <x:f>Native_Modular!$B$21</x:f>
        <x:v>0.06981149999999998</x:v>
      </x:c>
      <x:c r="D14" s="88" t="str">
        <x:v>Starter</x:v>
      </x:c>
      <x:c r="E14" s="302" t="n">
        <x:f>Plans_Margin!$L$4</x:f>
        <x:v>0.6780206119932172</x:v>
      </x:c>
    </x:row>
    <x:row r="15">
      <x:c r="A15" s="351" t="str">
        <x:v>Native S2S Voice</x:v>
      </x:c>
      <x:c r="B15" s="325" t="n">
        <x:f>Native_S2S!$B$21</x:f>
        <x:v>0.076648</x:v>
      </x:c>
      <x:c r="D15" s="141" t="str">
        <x:v>Growth</x:v>
      </x:c>
      <x:c r="E15" s="303" t="n">
        <x:f>Plans_Margin!$L$5</x:f>
        <x:v>0.7413399616838576</x:v>
      </x:c>
    </x:row>
    <x:row r="16">
      <x:c r="A16" s="351" t="str">
        <x:v>Native Video</x:v>
      </x:c>
      <x:c r="B16" s="325" t="n">
        <x:f>Native_Video!$B$21</x:f>
        <x:v>0.41257107692307693</x:v>
      </x:c>
      <x:c r="D16" s="141" t="str">
        <x:v>Scale</x:v>
      </x:c>
      <x:c r="E16" s="303" t="n">
        <x:f>Plans_Margin!$L$6</x:f>
        <x:v>0.7279648790402728</x:v>
      </x:c>
    </x:row>
    <x:row r="17">
      <x:c r="A17" s="351" t="str">
        <x:v>External Meeting Video</x:v>
      </x:c>
      <x:c r="B17" s="325" t="n">
        <x:f>External_Meeting!$B$21</x:f>
        <x:v>0.42008774358974355</x:v>
      </x:c>
      <x:c r="D17" s="91" t="str">
        <x:v>Enterprise</x:v>
      </x:c>
      <x:c r="E17" s="304" t="n">
        <x:f>Plans_Margin!$L$7</x:f>
        <x:v>0.7065852739120067</x:v>
      </x:c>
    </x:row>
    <x:row r="18">
      <x:c r="A18" s="352" t="str">
        <x:v>Telephony Voice</x:v>
      </x:c>
      <x:c r="B18" s="326" t="n">
        <x:f>Telephony!$B$21</x:f>
        <x:v>0.071698</x:v>
      </x:c>
    </x:row>
    <x:row r="19">
      <x:c r="A19" s="337"/>
    </x:row>
    <x:row r="20">
      <x:c r="A20" s="337"/>
    </x:row>
    <x:row r="21">
      <x:c r="A21" s="384" t="str">
        <x:v>Decision notes</x:v>
      </x:c>
      <x:c r="B21" s="68" t="str"/>
      <x:c r="C21" s="68" t="str"/>
      <x:c r="D21" s="68" t="str"/>
      <x:c r="E21" s="68" t="str"/>
    </x:row>
    <x:row r="22">
      <x:c r="A22" s="350" t="str">
        <x:v>1</x:v>
      </x:c>
      <x:c r="B22" s="89" t="str">
        <x:v>Não selecionar avatar apenas pela aparência. Comparar custo, latência, listening behavior e fallback.</x:v>
      </x:c>
      <x:c r="C22" s="89" t="str"/>
      <x:c r="D22" s="89" t="str"/>
      <x:c r="E22" s="90" t="str"/>
    </x:row>
    <x:row r="23">
      <x:c r="A23" s="351" t="str">
        <x:v>2</x:v>
      </x:c>
      <x:c r="B23" s="142" t="str">
        <x:v>Custo de meeting externo varia por compute e layout renderizado.</x:v>
      </x:c>
      <x:c r="C23" s="142" t="str"/>
      <x:c r="D23" s="142" t="str"/>
      <x:c r="E23" s="143" t="str"/>
    </x:row>
    <x:row r="24">
      <x:c r="A24" s="351" t="str">
        <x:v>3</x:v>
      </x:c>
      <x:c r="B24" s="142" t="str">
        <x:v>Franquia de vídeo pode consumir margem muito mais rápido que voz.</x:v>
      </x:c>
      <x:c r="C24" s="142" t="str"/>
      <x:c r="D24" s="142" t="str"/>
      <x:c r="E24" s="143" t="str"/>
    </x:row>
    <x:row r="25">
      <x:c r="A25" s="352" t="str">
        <x:v>4</x:v>
      </x:c>
      <x:c r="B25" s="92" t="str">
        <x:v>Atualize Actual_vs_Model mensalmente e revise reserva de custo.</x:v>
      </x:c>
      <x:c r="C25" s="92" t="str"/>
      <x:c r="D25" s="92" t="str"/>
      <x:c r="E25" s="93" t="str"/>
    </x:row>
    <x:row r="26">
      <x:c r="A26" s="337"/>
    </x:row>
    <x:row r="27">
      <x:c r="A27" s="337"/>
    </x:row>
    <x:row r="28">
      <x:c r="A28" s="337"/>
    </x:row>
    <x:row r="29">
      <x:c r="A29" s="337"/>
    </x:row>
    <x:row r="30">
      <x:c r="A30" s="337"/>
    </x:row>
    <x:row r="31">
      <x:c r="A31" s="337"/>
    </x:row>
    <x:row r="32">
      <x:c r="A32" s="337"/>
    </x:row>
    <x:row r="33">
      <x:c r="A33" s="337"/>
    </x:row>
    <x:row r="34">
      <x:c r="A34" s="337"/>
    </x:row>
    <x:row r="35">
      <x:c r="A35" s="337"/>
    </x:row>
    <x:row r="36">
      <x:c r="A36" s="337"/>
    </x:row>
    <x:row r="37">
      <x:c r="A37" s="337"/>
    </x:row>
    <x:row r="38">
      <x:c r="A38" s="337"/>
    </x:row>
    <x:row r="39">
      <x:c r="A39" s="337"/>
    </x:row>
    <x:row r="40">
      <x:c r="A40" s="337"/>
    </x:row>
    <x:row r="41">
      <x:c r="A41" s="337"/>
    </x:row>
    <x:row r="42">
      <x:c r="A42" s="337"/>
    </x:row>
    <x:row r="43">
      <x:c r="A43" s="337"/>
    </x:row>
    <x:row r="44">
      <x:c r="A44" s="337"/>
    </x:row>
    <x:row r="45">
      <x:c r="A45" s="337"/>
    </x:row>
    <x:row r="46">
      <x:c r="A46" s="337"/>
    </x:row>
    <x:row r="47">
      <x:c r="A47" s="337"/>
    </x:row>
    <x:row r="48">
      <x:c r="A48" s="337"/>
    </x:row>
    <x:row r="49">
      <x:c r="A49" s="337"/>
    </x:row>
    <x:row r="50">
      <x:c r="A50" s="337"/>
    </x:row>
    <x:row r="51">
      <x:c r="A51" s="337"/>
    </x:row>
    <x:row r="52">
      <x:c r="A52" s="337"/>
    </x:row>
    <x:row r="53">
      <x:c r="A53" s="337"/>
    </x:row>
    <x:row r="54">
      <x:c r="A54" s="337"/>
    </x:row>
    <x:row r="55">
      <x:c r="A55" s="337"/>
    </x:row>
    <x:row r="56">
      <x:c r="A56" s="337"/>
    </x:row>
    <x:row r="57">
      <x:c r="A57" s="337"/>
    </x:row>
    <x:row r="58">
      <x:c r="A58" s="337"/>
    </x:row>
    <x:row r="59">
      <x:c r="A59" s="337"/>
    </x:row>
    <x:row r="60">
      <x:c r="A60" s="337"/>
    </x:row>
    <x:row r="61">
      <x:c r="A61" s="337"/>
    </x:row>
    <x:row r="62">
      <x:c r="A62" s="337"/>
    </x:row>
    <x:row r="63">
      <x:c r="A63" s="337"/>
    </x:row>
    <x:row r="64">
      <x:c r="A64" s="337"/>
    </x:row>
    <x:row r="65">
      <x:c r="A65" s="337"/>
    </x:row>
    <x:row r="66">
      <x:c r="A66" s="337"/>
    </x:row>
    <x:row r="67">
      <x:c r="A67" s="337"/>
    </x:row>
    <x:row r="68">
      <x:c r="A68" s="337"/>
    </x:row>
    <x:row r="69">
      <x:c r="A69" s="337"/>
    </x:row>
    <x:row r="70">
      <x:c r="A70" s="337"/>
    </x:row>
    <x:row r="71">
      <x:c r="A71" s="337"/>
    </x:row>
    <x:row r="72">
      <x:c r="A72" s="337"/>
    </x:row>
    <x:row r="73">
      <x:c r="A73" s="337"/>
    </x:row>
    <x:row r="74">
      <x:c r="A74" s="337"/>
    </x:row>
    <x:row r="75">
      <x:c r="A75" s="337"/>
    </x:row>
    <x:row r="76">
      <x:c r="A76" s="337"/>
    </x:row>
    <x:row r="77">
      <x:c r="A77" s="337"/>
    </x:row>
    <x:row r="78">
      <x:c r="A78" s="337"/>
    </x:row>
    <x:row r="79">
      <x:c r="A79" s="337"/>
    </x:row>
    <x:row r="80">
      <x:c r="A80" s="337"/>
    </x:row>
    <x:row r="81">
      <x:c r="A81" s="337"/>
    </x:row>
    <x:row r="82">
      <x:c r="A82" s="337"/>
    </x:row>
    <x:row r="83">
      <x:c r="A83" s="337"/>
    </x:row>
    <x:row r="84">
      <x:c r="A84" s="337"/>
    </x:row>
    <x:row r="85">
      <x:c r="A85" s="337"/>
    </x:row>
    <x:row r="86">
      <x:c r="A86" s="337"/>
    </x:row>
    <x:row r="87">
      <x:c r="A87" s="337"/>
    </x:row>
    <x:row r="88">
      <x:c r="A88" s="337"/>
    </x:row>
    <x:row r="89">
      <x:c r="A89" s="337"/>
    </x:row>
    <x:row r="90">
      <x:c r="A90" s="337"/>
    </x:row>
    <x:row r="91">
      <x:c r="A91" s="337"/>
    </x:row>
    <x:row r="92">
      <x:c r="A92" s="337"/>
    </x:row>
    <x:row r="93">
      <x:c r="A93" s="337"/>
    </x:row>
    <x:row r="94">
      <x:c r="A94" s="337"/>
    </x:row>
    <x:row r="95">
      <x:c r="A95" s="337"/>
    </x:row>
    <x:row r="96">
      <x:c r="A96" s="337"/>
    </x:row>
    <x:row r="97">
      <x:c r="A97" s="337"/>
    </x:row>
    <x:row r="98">
      <x:c r="A98" s="337"/>
    </x:row>
    <x:row r="99">
      <x:c r="A99" s="337"/>
    </x:row>
    <x:row r="100">
      <x:c r="A100" s="337"/>
    </x:row>
  </x:sheetData>
  <x:mergeCells>
    <x:mergeCell ref="A1:N1"/>
    <x:mergeCell ref="A2:N2"/>
    <x:mergeCell ref="A21:E21"/>
    <x:mergeCell ref="B22:E22"/>
    <x:mergeCell ref="B23:E23"/>
    <x:mergeCell ref="B24:E24"/>
    <x:mergeCell ref="B25:E25"/>
  </x:mergeCells>
  <x:conditionalFormatting sqref="E14:E17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drawing xmlns:r="http://schemas.openxmlformats.org/officeDocument/2006/relationships" r:id="Rdfd5e16e6af44dd7"/>
</x:worksheet>
</file>