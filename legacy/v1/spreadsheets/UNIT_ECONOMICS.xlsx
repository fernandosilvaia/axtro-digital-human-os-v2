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Custo_por_Minuto" sheetId="3" state="visible" r:id="rId5"/>
    <sheet name="Planos_Margem" sheetId="4" state="visible" r:id="rId6"/>
    <sheet name="Breakev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<sst xmlns="http://schemas.openxmlformats.org/spreadsheetml/2006/main" count="138" uniqueCount="128">
  <si>
    <t xml:space="preserve">Axtro Human Sales AI — Unit Economics</t>
  </si>
  <si>
    <t xml:space="preserve">Data das cotações de providers:</t>
  </si>
  <si>
    <t xml:space="preserve">2026-07-13 (preços públicos; RECONFERIR antes de qualquer contrato — ver PENDENCIAS_EXTERNAS.md)</t>
  </si>
  <si>
    <t xml:space="preserve">Como usar:</t>
  </si>
  <si>
    <t xml:space="preserve">Edite apenas células AMARELAS (aba Premissas). Todo o resto é calculado por fórmula.</t>
  </si>
  <si>
    <t xml:space="preserve">Convenção de cores:</t>
  </si>
  <si>
    <t xml:space="preserve">Amarelo = input editável · Cinza = cálculo intermediário · Verde = resultado</t>
  </si>
  <si>
    <t xml:space="preserve">Moeda:</t>
  </si>
  <si>
    <t xml:space="preserve">Custos de providers em USD; preços de venda e margens em BRL (câmbio editável nas Premissas).</t>
  </si>
  <si>
    <t xml:space="preserve">Abas:</t>
  </si>
  <si>
    <t xml:space="preserve">Premissas → Custo_por_Minuto (5 cenários) → Planos_Margem (3 planos) → Breakeven</t>
  </si>
  <si>
    <t xml:space="preserve">Fonte dos preços:</t>
  </si>
  <si>
    <t xml:space="preserve">Tavus (pricing público), ElevenLabs, Cartesia, Deepgram, OpenAI, Anthropic, LiveKit, Telnyx, Recall.ai — detalhados em docs/operations/PROVIDER_STRATEGY.md</t>
  </si>
  <si>
    <t xml:space="preserve">Aviso:</t>
  </si>
  <si>
    <t xml:space="preserve">Modelo simplificado para decisão de pricing do MVP; não substitui contabilidade.</t>
  </si>
  <si>
    <t xml:space="preserve">Premissas (edite apenas as células amarelas)</t>
  </si>
  <si>
    <t xml:space="preserve">Código</t>
  </si>
  <si>
    <t xml:space="preserve">Premissa</t>
  </si>
  <si>
    <t xml:space="preserve">Valor</t>
  </si>
  <si>
    <t xml:space="preserve">Unidade</t>
  </si>
  <si>
    <t xml:space="preserve">Nota / fonte (cotado 2026-07-13)</t>
  </si>
  <si>
    <t xml:space="preserve">FX</t>
  </si>
  <si>
    <t xml:space="preserve">Câmbio USD→BRL</t>
  </si>
  <si>
    <t xml:space="preserve">BRL/USD</t>
  </si>
  <si>
    <t xml:space="preserve">Editável; PTAX aproximada na data</t>
  </si>
  <si>
    <t xml:space="preserve">STT</t>
  </si>
  <si>
    <t xml:space="preserve">Deepgram Nova streaming</t>
  </si>
  <si>
    <t xml:space="preserve">USD/min</t>
  </si>
  <si>
    <t xml:space="preserve">Pay-as-you-go, PT-BR</t>
  </si>
  <si>
    <t xml:space="preserve">LLM_RT</t>
  </si>
  <si>
    <t xml:space="preserve">LLM realtime (Haiku via gateway)</t>
  </si>
  <si>
    <t xml:space="preserve">USD/min conversa</t>
  </si>
  <si>
    <t xml:space="preserve">Estimado: ~700 tokens in/out por turno, ~10 turnos/10min</t>
  </si>
  <si>
    <t xml:space="preserve">LLM_PC</t>
  </si>
  <si>
    <t xml:space="preserve">LLM pós-call (resumo/judge, Sonnet)</t>
  </si>
  <si>
    <t xml:space="preserve">USD/sessão</t>
  </si>
  <si>
    <t xml:space="preserve">Custo por sessão, não por minuto</t>
  </si>
  <si>
    <t xml:space="preserve">TTS_EL</t>
  </si>
  <si>
    <t xml:space="preserve">ElevenLabs Flash v2.5</t>
  </si>
  <si>
    <t xml:space="preserve">USD/min falado</t>
  </si>
  <si>
    <t xml:space="preserve">Equivalente por minuto de áudio gerado</t>
  </si>
  <si>
    <t xml:space="preserve">TTS_CA</t>
  </si>
  <si>
    <t xml:space="preserve">Cartesia Sonic (fallback)</t>
  </si>
  <si>
    <t xml:space="preserve">—</t>
  </si>
  <si>
    <t xml:space="preserve">S2S</t>
  </si>
  <si>
    <t xml:space="preserve">OpenAI Realtime (voz S2S)</t>
  </si>
  <si>
    <t xml:space="preserve">Ordem de grandeza; varia com áudio in/out</t>
  </si>
  <si>
    <t xml:space="preserve">AVATAR</t>
  </si>
  <si>
    <t xml:space="preserve">Tavus CVI (overage)</t>
  </si>
  <si>
    <t xml:space="preserve">USD/min vídeo</t>
  </si>
  <si>
    <t xml:space="preserve">Faixa 0,32–0,37; Growth US$397/1.250min</t>
  </si>
  <si>
    <t xml:space="preserve">LK</t>
  </si>
  <si>
    <t xml:space="preserve">LiveKit Cloud</t>
  </si>
  <si>
    <t xml:space="preserve">USD/participante-min</t>
  </si>
  <si>
    <t xml:space="preserve">2 participantes ⇒ 2x por minuto de call</t>
  </si>
  <si>
    <t xml:space="preserve">TEL</t>
  </si>
  <si>
    <t xml:space="preserve">Telnyx voz US</t>
  </si>
  <si>
    <t xml:space="preserve">BR sob consulta na F3</t>
  </si>
  <si>
    <t xml:space="preserve">RECALL</t>
  </si>
  <si>
    <t xml:space="preserve">Recall.ai bot</t>
  </si>
  <si>
    <t xml:space="preserve">USD/hora</t>
  </si>
  <si>
    <t xml:space="preserve">Verificar na contratação (F3)</t>
  </si>
  <si>
    <t xml:space="preserve">SPK</t>
  </si>
  <si>
    <t xml:space="preserve">% do tempo em que a IA fala</t>
  </si>
  <si>
    <t xml:space="preserve">fração</t>
  </si>
  <si>
    <t xml:space="preserve">Método Silva: lead fala ~60%</t>
  </si>
  <si>
    <t xml:space="preserve">DUR_Q</t>
  </si>
  <si>
    <t xml:space="preserve">Duração média call de qualificação</t>
  </si>
  <si>
    <t xml:space="preserve">min</t>
  </si>
  <si>
    <t xml:space="preserve">Cold Call Silva: 2–6min + margem</t>
  </si>
  <si>
    <t xml:space="preserve">DUR_C</t>
  </si>
  <si>
    <t xml:space="preserve">Duração média reunião de fechamento</t>
  </si>
  <si>
    <t xml:space="preserve">Reunião Silva: 40–60min</t>
  </si>
  <si>
    <t xml:space="preserve">INFRA</t>
  </si>
  <si>
    <t xml:space="preserve">Overhead infra por minuto (Fly/Supabase/observab.)</t>
  </si>
  <si>
    <t xml:space="preserve">Rateio estimado no MVP</t>
  </si>
  <si>
    <t xml:space="preserve">MARGEM_ALVO</t>
  </si>
  <si>
    <t xml:space="preserve">Margem bruta alvo</t>
  </si>
  <si>
    <t xml:space="preserve">Referência SaaS</t>
  </si>
  <si>
    <t xml:space="preserve">FIXO</t>
  </si>
  <si>
    <t xml:space="preserve">Custos fixos mensais (infra base+ferramentas)</t>
  </si>
  <si>
    <t xml:space="preserve">USD/mês</t>
  </si>
  <si>
    <t xml:space="preserve">Doppler, Grafana, Sentry, Vercel, Fly base, Supabase Pro etc.</t>
  </si>
  <si>
    <t xml:space="preserve">Custo por minuto de conversa — 5 cenários</t>
  </si>
  <si>
    <t xml:space="preserve">Fórmulas referenciam Premissas. TTS/Avatar multiplicados pela fração de fala da IA (SPK).</t>
  </si>
  <si>
    <t xml:space="preserve">Componente</t>
  </si>
  <si>
    <t xml:space="preserve">S1 Voz econômica (pipeline+Cartesia)</t>
  </si>
  <si>
    <t xml:space="preserve">S2 Voz premium (pipeline+ElevenLabs)</t>
  </si>
  <si>
    <t xml:space="preserve">S3 Voz S2S (OpenAI Realtime)</t>
  </si>
  <si>
    <t xml:space="preserve">S4 Vídeo avatar (S2 + Tavus)</t>
  </si>
  <si>
    <t xml:space="preserve">S5 Telefonia (S2 + Telnyx, sem LiveKit 2º part.)</t>
  </si>
  <si>
    <t xml:space="preserve">LLM realtime</t>
  </si>
  <si>
    <t xml:space="preserve">S2S (tudo-em-um)</t>
  </si>
  <si>
    <t xml:space="preserve">TTS × fração fala IA</t>
  </si>
  <si>
    <t xml:space="preserve">Avatar × fração fala? (stream contínuo ⇒ 100%)</t>
  </si>
  <si>
    <t xml:space="preserve">LiveKit (2 participantes)</t>
  </si>
  <si>
    <t xml:space="preserve">Telefonia</t>
  </si>
  <si>
    <t xml:space="preserve">Infra rateada</t>
  </si>
  <si>
    <t xml:space="preserve">TOTAL USD/min</t>
  </si>
  <si>
    <t xml:space="preserve">TOTAL BRL/min</t>
  </si>
  <si>
    <t xml:space="preserve">Custo por call de qualificação (DUR_Q)</t>
  </si>
  <si>
    <t xml:space="preserve">Custo por reunião de fechamento (DUR_C)</t>
  </si>
  <si>
    <t xml:space="preserve">Planos e margem bruta (BRL/mês)</t>
  </si>
  <si>
    <t xml:space="preserve">Amarelo = defina preço e franquias. Mix: minutos de voz usam S2 (premium); vídeo usa S4; excedente cobrado à parte (linha 14+).</t>
  </si>
  <si>
    <t xml:space="preserve">Item</t>
  </si>
  <si>
    <t xml:space="preserve">Starter</t>
  </si>
  <si>
    <t xml:space="preserve">Pro</t>
  </si>
  <si>
    <t xml:space="preserve">Scale</t>
  </si>
  <si>
    <t xml:space="preserve">Preço mensal (BRL)</t>
  </si>
  <si>
    <t xml:space="preserve">Minutos de VOZ incluídos</t>
  </si>
  <si>
    <t xml:space="preserve">Minutos de VÍDEO incluídos</t>
  </si>
  <si>
    <t xml:space="preserve">Agentes ativos</t>
  </si>
  <si>
    <t xml:space="preserve">Custo voz (S2 × min voz)</t>
  </si>
  <si>
    <t xml:space="preserve">Custo vídeo (S4 × min vídeo)</t>
  </si>
  <si>
    <t xml:space="preserve">Custo pós-call (LLM_PC × calls estimadas)</t>
  </si>
  <si>
    <t xml:space="preserve">Custo total variável</t>
  </si>
  <si>
    <t xml:space="preserve">Margem bruta (R$)</t>
  </si>
  <si>
    <t xml:space="preserve">Margem bruta (%)</t>
  </si>
  <si>
    <t xml:space="preserve">Margem ≥ alvo?</t>
  </si>
  <si>
    <t xml:space="preserve">Excedente sugerido — voz (BRL/min, custo S2 ÷ (1−alvo))</t>
  </si>
  <si>
    <t xml:space="preserve">Excedente sugerido — vídeo (BRL/min, custo S4 ÷ (1−alvo))</t>
  </si>
  <si>
    <t xml:space="preserve">Breakeven mensal</t>
  </si>
  <si>
    <t xml:space="preserve">Custos fixos (USD/mês, Premissas!FIXO)</t>
  </si>
  <si>
    <t xml:space="preserve">Custos fixos (BRL/mês)</t>
  </si>
  <si>
    <t xml:space="preserve">Métrica</t>
  </si>
  <si>
    <t xml:space="preserve">Margem bruta por cliente (R$)</t>
  </si>
  <si>
    <t xml:space="preserve">Clientes p/ breakeven (fixos ÷ margem)</t>
  </si>
  <si>
    <t xml:space="preserve">Leitura: com o mix 100% em um único plano; na prática o mix real fica entre Pro e Scale.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</si>
</sst>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000"/>
    <numFmt numFmtId="167" formatCode="\$0.0000"/>
    <numFmt numFmtId="168" formatCode="&quot;R$&quot;0.0000"/>
    <numFmt numFmtId="169" formatCode="&quot;R$&quot;0.00"/>
    <numFmt numFmtId="170" formatCode="&quot;R$&quot;#,##0"/>
    <numFmt numFmtId="171" formatCode="#,##0"/>
    <numFmt numFmtId="172" formatCode="0"/>
    <numFmt numFmtId="173" formatCode="&quot;R$&quot;#,##0.00"/>
    <numFmt numFmtId="174" formatCode="0.0%"/>
    <numFmt numFmtId="17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0F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61D"/>
        <bgColor rgb="FF0B0F1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61D"/>
      <rgbColor rgb="FF0B0F14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customFormat="false" ht="15.75" hidden="false" customHeight="true" outlineLevel="0" collapsed="false">
      <c r="A4" s="5" t="s">
        <v>21</v>
      </c>
      <c r="B4" s="6" t="s">
        <v>22</v>
      </c>
      <c r="C4" s="7" t="n">
        <v>5.3</v>
      </c>
      <c r="D4" s="8" t="s">
        <v>23</v>
      </c>
      <c r="E4" s="8" t="s">
        <v>24</v>
      </c>
    </row>
    <row r="5" customFormat="false" ht="15.75" hidden="false" customHeight="true" outlineLevel="0" collapsed="false">
      <c r="A5" s="5" t="s">
        <v>25</v>
      </c>
      <c r="B5" s="6" t="s">
        <v>26</v>
      </c>
      <c r="C5" s="9" t="n">
        <v>0.0077</v>
      </c>
      <c r="D5" s="8" t="s">
        <v>27</v>
      </c>
      <c r="E5" s="8" t="s">
        <v>28</v>
      </c>
    </row>
    <row r="6" customFormat="false" ht="15.75" hidden="false" customHeight="true" outlineLevel="0" collapsed="false">
      <c r="A6" s="5" t="s">
        <v>29</v>
      </c>
      <c r="B6" s="6" t="s">
        <v>30</v>
      </c>
      <c r="C6" s="9" t="n">
        <v>0.012</v>
      </c>
      <c r="D6" s="8" t="s">
        <v>31</v>
      </c>
      <c r="E6" s="8" t="s">
        <v>32</v>
      </c>
    </row>
    <row r="7" customFormat="false" ht="15.75" hidden="false" customHeight="true" outlineLevel="0" collapsed="false">
      <c r="A7" s="5" t="s">
        <v>33</v>
      </c>
      <c r="B7" s="6" t="s">
        <v>34</v>
      </c>
      <c r="C7" s="9" t="n">
        <v>0.03</v>
      </c>
      <c r="D7" s="8" t="s">
        <v>35</v>
      </c>
      <c r="E7" s="8" t="s">
        <v>36</v>
      </c>
    </row>
    <row r="8" customFormat="false" ht="15.75" hidden="false" customHeight="true" outlineLevel="0" collapsed="false">
      <c r="A8" s="5" t="s">
        <v>37</v>
      </c>
      <c r="B8" s="6" t="s">
        <v>38</v>
      </c>
      <c r="C8" s="9" t="n">
        <v>0.06</v>
      </c>
      <c r="D8" s="8" t="s">
        <v>39</v>
      </c>
      <c r="E8" s="8" t="s">
        <v>40</v>
      </c>
    </row>
    <row r="9" customFormat="false" ht="15.75" hidden="false" customHeight="true" outlineLevel="0" collapsed="false">
      <c r="A9" s="5" t="s">
        <v>41</v>
      </c>
      <c r="B9" s="6" t="s">
        <v>42</v>
      </c>
      <c r="C9" s="9" t="n">
        <v>0.025</v>
      </c>
      <c r="D9" s="8" t="s">
        <v>39</v>
      </c>
      <c r="E9" s="8" t="s">
        <v>43</v>
      </c>
    </row>
    <row r="10" customFormat="false" ht="15.75" hidden="false" customHeight="true" outlineLevel="0" collapsed="false">
      <c r="A10" s="5" t="s">
        <v>44</v>
      </c>
      <c r="B10" s="6" t="s">
        <v>45</v>
      </c>
      <c r="C10" s="9" t="n">
        <v>0.1</v>
      </c>
      <c r="D10" s="8" t="s">
        <v>27</v>
      </c>
      <c r="E10" s="8" t="s">
        <v>46</v>
      </c>
    </row>
    <row r="11" customFormat="false" ht="15.75" hidden="false" customHeight="true" outlineLevel="0" collapsed="false">
      <c r="A11" s="5" t="s">
        <v>47</v>
      </c>
      <c r="B11" s="6" t="s">
        <v>48</v>
      </c>
      <c r="C11" s="9" t="n">
        <v>0.34</v>
      </c>
      <c r="D11" s="8" t="s">
        <v>49</v>
      </c>
      <c r="E11" s="8" t="s">
        <v>50</v>
      </c>
    </row>
    <row r="12" customFormat="false" ht="15.75" hidden="false" customHeight="true" outlineLevel="0" collapsed="false">
      <c r="A12" s="5" t="s">
        <v>51</v>
      </c>
      <c r="B12" s="6" t="s">
        <v>52</v>
      </c>
      <c r="C12" s="9" t="n">
        <v>0.0075</v>
      </c>
      <c r="D12" s="8" t="s">
        <v>53</v>
      </c>
      <c r="E12" s="8" t="s">
        <v>54</v>
      </c>
    </row>
    <row r="13" customFormat="false" ht="15.75" hidden="false" customHeight="true" outlineLevel="0" collapsed="false">
      <c r="A13" s="5" t="s">
        <v>55</v>
      </c>
      <c r="B13" s="6" t="s">
        <v>56</v>
      </c>
      <c r="C13" s="9" t="n">
        <v>0.007</v>
      </c>
      <c r="D13" s="8" t="s">
        <v>27</v>
      </c>
      <c r="E13" s="8" t="s">
        <v>57</v>
      </c>
    </row>
    <row r="14" customFormat="false" ht="15.75" hidden="false" customHeight="true" outlineLevel="0" collapsed="false">
      <c r="A14" s="5" t="s">
        <v>58</v>
      </c>
      <c r="B14" s="6" t="s">
        <v>59</v>
      </c>
      <c r="C14" s="9" t="n">
        <v>0.8</v>
      </c>
      <c r="D14" s="8" t="s">
        <v>60</v>
      </c>
      <c r="E14" s="8" t="s">
        <v>61</v>
      </c>
    </row>
    <row r="15" customFormat="false" ht="15.75" hidden="false" customHeight="true" outlineLevel="0" collapsed="false">
      <c r="A15" s="5" t="s">
        <v>62</v>
      </c>
      <c r="B15" s="6" t="s">
        <v>63</v>
      </c>
      <c r="C15" s="9" t="n">
        <v>0.4</v>
      </c>
      <c r="D15" s="8" t="s">
        <v>64</v>
      </c>
      <c r="E15" s="8" t="s">
        <v>65</v>
      </c>
    </row>
    <row r="16" customFormat="false" ht="15.75" hidden="false" customHeight="true" outlineLevel="0" collapsed="false">
      <c r="A16" s="5" t="s">
        <v>66</v>
      </c>
      <c r="B16" s="6" t="s">
        <v>67</v>
      </c>
      <c r="C16" s="7" t="n">
        <v>8</v>
      </c>
      <c r="D16" s="8" t="s">
        <v>68</v>
      </c>
      <c r="E16" s="8" t="s">
        <v>69</v>
      </c>
    </row>
    <row r="17" customFormat="false" ht="15.75" hidden="false" customHeight="true" outlineLevel="0" collapsed="false">
      <c r="A17" s="5" t="s">
        <v>70</v>
      </c>
      <c r="B17" s="6" t="s">
        <v>71</v>
      </c>
      <c r="C17" s="7" t="n">
        <v>45</v>
      </c>
      <c r="D17" s="8" t="s">
        <v>68</v>
      </c>
      <c r="E17" s="8" t="s">
        <v>72</v>
      </c>
    </row>
    <row r="18" customFormat="false" ht="15.75" hidden="false" customHeight="true" outlineLevel="0" collapsed="false">
      <c r="A18" s="5" t="s">
        <v>73</v>
      </c>
      <c r="B18" s="6" t="s">
        <v>74</v>
      </c>
      <c r="C18" s="9" t="n">
        <v>0.005</v>
      </c>
      <c r="D18" s="8" t="s">
        <v>27</v>
      </c>
      <c r="E18" s="8" t="s">
        <v>75</v>
      </c>
    </row>
    <row r="19" customFormat="false" ht="15.75" hidden="false" customHeight="true" outlineLevel="0" collapsed="false">
      <c r="A19" s="5" t="s">
        <v>76</v>
      </c>
      <c r="B19" s="6" t="s">
        <v>77</v>
      </c>
      <c r="C19" s="9" t="n">
        <v>0.7</v>
      </c>
      <c r="D19" s="8" t="s">
        <v>64</v>
      </c>
      <c r="E19" s="8" t="s">
        <v>78</v>
      </c>
    </row>
    <row r="20" customFormat="false" ht="15.75" hidden="false" customHeight="true" outlineLevel="0" collapsed="false">
      <c r="A20" s="5" t="s">
        <v>79</v>
      </c>
      <c r="B20" s="6" t="s">
        <v>80</v>
      </c>
      <c r="C20" s="7" t="n">
        <v>900</v>
      </c>
      <c r="D20" s="8" t="s">
        <v>81</v>
      </c>
      <c r="E20" s="8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24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0" t="s">
        <v>84</v>
      </c>
    </row>
    <row r="4" customFormat="false" ht="23.85" hidden="false" customHeight="false" outlineLevel="0" collapsed="false">
      <c r="A4" s="4" t="s">
        <v>85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</row>
    <row r="5" customFormat="false" ht="15" hidden="false" customHeight="false" outlineLevel="0" collapsed="false">
      <c r="A5" s="11" t="s">
        <v>25</v>
      </c>
      <c r="B5" s="12" t="n">
        <f aca="false">Premissas!$C$5</f>
        <v>0.0077</v>
      </c>
      <c r="C5" s="12" t="n">
        <f aca="false">Premissas!$C$5</f>
        <v>0.0077</v>
      </c>
      <c r="D5" s="12" t="n">
        <f aca="false">0</f>
        <v>0</v>
      </c>
      <c r="E5" s="12" t="n">
        <f aca="false">Premissas!$C$5</f>
        <v>0.0077</v>
      </c>
      <c r="F5" s="12" t="n">
        <f aca="false">Premissas!$C$5</f>
        <v>0.0077</v>
      </c>
    </row>
    <row r="6" customFormat="false" ht="15" hidden="false" customHeight="false" outlineLevel="0" collapsed="false">
      <c r="A6" s="11" t="s">
        <v>91</v>
      </c>
      <c r="B6" s="12" t="n">
        <f aca="false">Premissas!$C$6</f>
        <v>0.012</v>
      </c>
      <c r="C6" s="12" t="n">
        <f aca="false">Premissas!$C$6</f>
        <v>0.012</v>
      </c>
      <c r="D6" s="12" t="n">
        <f aca="false">0</f>
        <v>0</v>
      </c>
      <c r="E6" s="12" t="n">
        <f aca="false">Premissas!$C$6</f>
        <v>0.012</v>
      </c>
      <c r="F6" s="12" t="n">
        <f aca="false">Premissas!$C$6</f>
        <v>0.012</v>
      </c>
    </row>
    <row r="7" customFormat="false" ht="15" hidden="false" customHeight="false" outlineLevel="0" collapsed="false">
      <c r="A7" s="11" t="s">
        <v>92</v>
      </c>
      <c r="B7" s="12" t="n">
        <f aca="false">0</f>
        <v>0</v>
      </c>
      <c r="C7" s="12" t="n">
        <f aca="false">0</f>
        <v>0</v>
      </c>
      <c r="D7" s="12" t="n">
        <f aca="false">Premissas!$C$10</f>
        <v>0.1</v>
      </c>
      <c r="E7" s="12" t="n">
        <f aca="false">0</f>
        <v>0</v>
      </c>
      <c r="F7" s="12" t="n">
        <f aca="false">0</f>
        <v>0</v>
      </c>
    </row>
    <row r="8" customFormat="false" ht="15" hidden="false" customHeight="false" outlineLevel="0" collapsed="false">
      <c r="A8" s="11" t="s">
        <v>93</v>
      </c>
      <c r="B8" s="12" t="n">
        <f aca="false">Premissas!$C$9*Premissas!$C$15</f>
        <v>0.01</v>
      </c>
      <c r="C8" s="12" t="n">
        <f aca="false">Premissas!$C$8*Premissas!$C$15</f>
        <v>0.024</v>
      </c>
      <c r="D8" s="12" t="n">
        <f aca="false">0</f>
        <v>0</v>
      </c>
      <c r="E8" s="12" t="n">
        <f aca="false">Premissas!$C$8*Premissas!$C$15</f>
        <v>0.024</v>
      </c>
      <c r="F8" s="12" t="n">
        <f aca="false">Premissas!$C$8*Premissas!$C$15</f>
        <v>0.024</v>
      </c>
    </row>
    <row r="9" customFormat="false" ht="15" hidden="false" customHeight="false" outlineLevel="0" collapsed="false">
      <c r="A9" s="11" t="s">
        <v>94</v>
      </c>
      <c r="B9" s="12" t="n">
        <f aca="false">0</f>
        <v>0</v>
      </c>
      <c r="C9" s="12" t="n">
        <f aca="false">0</f>
        <v>0</v>
      </c>
      <c r="D9" s="12" t="n">
        <f aca="false">0</f>
        <v>0</v>
      </c>
      <c r="E9" s="12" t="n">
        <f aca="false">Premissas!$C$11</f>
        <v>0.34</v>
      </c>
      <c r="F9" s="12" t="n">
        <f aca="false">0</f>
        <v>0</v>
      </c>
    </row>
    <row r="10" customFormat="false" ht="15" hidden="false" customHeight="false" outlineLevel="0" collapsed="false">
      <c r="A10" s="11" t="s">
        <v>95</v>
      </c>
      <c r="B10" s="12" t="n">
        <f aca="false">2*Premissas!$C$12</f>
        <v>0.015</v>
      </c>
      <c r="C10" s="12" t="n">
        <f aca="false">2*Premissas!$C$12</f>
        <v>0.015</v>
      </c>
      <c r="D10" s="12" t="n">
        <f aca="false">2*Premissas!$C$12</f>
        <v>0.015</v>
      </c>
      <c r="E10" s="12" t="n">
        <f aca="false">2*Premissas!$C$12</f>
        <v>0.015</v>
      </c>
      <c r="F10" s="12" t="n">
        <f aca="false">1*Premissas!$C$12</f>
        <v>0.0075</v>
      </c>
    </row>
    <row r="11" customFormat="false" ht="15" hidden="false" customHeight="false" outlineLevel="0" collapsed="false">
      <c r="A11" s="11" t="s">
        <v>96</v>
      </c>
      <c r="B11" s="12" t="n">
        <f aca="false">0</f>
        <v>0</v>
      </c>
      <c r="C11" s="12" t="n">
        <f aca="false">0</f>
        <v>0</v>
      </c>
      <c r="D11" s="12" t="n">
        <f aca="false">0</f>
        <v>0</v>
      </c>
      <c r="E11" s="12" t="n">
        <f aca="false">0</f>
        <v>0</v>
      </c>
      <c r="F11" s="12" t="n">
        <f aca="false">Premissas!$C$13</f>
        <v>0.007</v>
      </c>
    </row>
    <row r="12" customFormat="false" ht="15" hidden="false" customHeight="false" outlineLevel="0" collapsed="false">
      <c r="A12" s="11" t="s">
        <v>97</v>
      </c>
      <c r="B12" s="12" t="n">
        <f aca="false">Premissas!$C$18</f>
        <v>0.005</v>
      </c>
      <c r="C12" s="12" t="n">
        <f aca="false">Premissas!$C$18</f>
        <v>0.005</v>
      </c>
      <c r="D12" s="12" t="n">
        <f aca="false">Premissas!$C$18</f>
        <v>0.005</v>
      </c>
      <c r="E12" s="12" t="n">
        <f aca="false">Premissas!$C$18</f>
        <v>0.005</v>
      </c>
      <c r="F12" s="12" t="n">
        <f aca="false">Premissas!$C$18</f>
        <v>0.005</v>
      </c>
    </row>
    <row r="13" customFormat="false" ht="15" hidden="false" customHeight="false" outlineLevel="0" collapsed="false">
      <c r="A13" s="13" t="s">
        <v>98</v>
      </c>
      <c r="B13" s="14" t="n">
        <f aca="false">SUM(B5:B12)</f>
        <v>0.0497</v>
      </c>
      <c r="C13" s="14" t="n">
        <f aca="false">SUM(C5:C12)</f>
        <v>0.0637</v>
      </c>
      <c r="D13" s="14" t="n">
        <f aca="false">SUM(D5:D12)</f>
        <v>0.12</v>
      </c>
      <c r="E13" s="14" t="n">
        <f aca="false">SUM(E5:E12)</f>
        <v>0.4037</v>
      </c>
      <c r="F13" s="14" t="n">
        <f aca="false">SUM(F5:F12)</f>
        <v>0.0632</v>
      </c>
    </row>
    <row r="14" customFormat="false" ht="15" hidden="false" customHeight="false" outlineLevel="0" collapsed="false">
      <c r="A14" s="13" t="s">
        <v>99</v>
      </c>
      <c r="B14" s="15" t="n">
        <f aca="false">B13*Premissas!$C$4</f>
        <v>0.26341</v>
      </c>
      <c r="C14" s="15" t="n">
        <f aca="false">C13*Premissas!$C$4</f>
        <v>0.33761</v>
      </c>
      <c r="D14" s="15" t="n">
        <f aca="false">D13*Premissas!$C$4</f>
        <v>0.636</v>
      </c>
      <c r="E14" s="15" t="n">
        <f aca="false">E13*Premissas!$C$4</f>
        <v>2.13961</v>
      </c>
      <c r="F14" s="15" t="n">
        <f aca="false">F13*Premissas!$C$4</f>
        <v>0.33496</v>
      </c>
    </row>
    <row r="16" customFormat="false" ht="15" hidden="false" customHeight="false" outlineLevel="0" collapsed="false">
      <c r="A16" s="6" t="s">
        <v>100</v>
      </c>
      <c r="B16" s="16" t="n">
        <f aca="false">B14*Premissas!$C$16</f>
        <v>2.10728</v>
      </c>
      <c r="C16" s="16" t="n">
        <f aca="false">C14*Premissas!$C$16</f>
        <v>2.70088</v>
      </c>
    </row>
    <row r="17" customFormat="false" ht="15" hidden="false" customHeight="false" outlineLevel="0" collapsed="false">
      <c r="A17" s="6" t="s">
        <v>101</v>
      </c>
      <c r="C17" s="16" t="n">
        <f aca="false">C14*Premissas!$C$17</f>
        <v>15.19245</v>
      </c>
      <c r="E17" s="16" t="n">
        <f aca="false">E14*Premissas!$C$17</f>
        <v>96.28245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10" t="s">
        <v>103</v>
      </c>
    </row>
    <row r="4" customFormat="false" ht="15" hidden="false" customHeight="false" outlineLevel="0" collapsed="false">
      <c r="A4" s="4" t="s">
        <v>104</v>
      </c>
      <c r="B4" s="4" t="s">
        <v>105</v>
      </c>
      <c r="C4" s="4" t="s">
        <v>106</v>
      </c>
      <c r="D4" s="4" t="s">
        <v>107</v>
      </c>
    </row>
    <row r="5" customFormat="false" ht="15" hidden="false" customHeight="false" outlineLevel="0" collapsed="false">
      <c r="A5" s="5" t="s">
        <v>108</v>
      </c>
      <c r="B5" s="17" t="n">
        <v>997</v>
      </c>
      <c r="C5" s="17" t="n">
        <v>2497</v>
      </c>
      <c r="D5" s="17" t="n">
        <v>5997</v>
      </c>
    </row>
    <row r="6" customFormat="false" ht="15" hidden="false" customHeight="false" outlineLevel="0" collapsed="false">
      <c r="A6" s="5" t="s">
        <v>109</v>
      </c>
      <c r="B6" s="18" t="n">
        <v>500</v>
      </c>
      <c r="C6" s="18" t="n">
        <v>1500</v>
      </c>
      <c r="D6" s="18" t="n">
        <v>4000</v>
      </c>
    </row>
    <row r="7" customFormat="false" ht="15" hidden="false" customHeight="false" outlineLevel="0" collapsed="false">
      <c r="A7" s="5" t="s">
        <v>110</v>
      </c>
      <c r="B7" s="18" t="n">
        <v>0</v>
      </c>
      <c r="C7" s="18" t="n">
        <v>200</v>
      </c>
      <c r="D7" s="18" t="n">
        <v>800</v>
      </c>
    </row>
    <row r="8" customFormat="false" ht="15" hidden="false" customHeight="false" outlineLevel="0" collapsed="false">
      <c r="A8" s="5" t="s">
        <v>111</v>
      </c>
      <c r="B8" s="19" t="n">
        <v>1</v>
      </c>
      <c r="C8" s="19" t="n">
        <v>3</v>
      </c>
      <c r="D8" s="19" t="n">
        <v>10</v>
      </c>
    </row>
    <row r="9" customFormat="false" ht="15" hidden="false" customHeight="false" outlineLevel="0" collapsed="false">
      <c r="A9" s="11" t="s">
        <v>112</v>
      </c>
      <c r="B9" s="20" t="n">
        <f aca="false">B6*Custo_por_Minuto!$C$14</f>
        <v>168.805</v>
      </c>
      <c r="C9" s="20" t="n">
        <f aca="false">C6*Custo_por_Minuto!$C$14</f>
        <v>506.415</v>
      </c>
      <c r="D9" s="20" t="n">
        <f aca="false">D6*Custo_por_Minuto!$C$14</f>
        <v>1350.44</v>
      </c>
    </row>
    <row r="10" customFormat="false" ht="15" hidden="false" customHeight="false" outlineLevel="0" collapsed="false">
      <c r="A10" s="11" t="s">
        <v>113</v>
      </c>
      <c r="B10" s="20" t="n">
        <f aca="false">B7*Custo_por_Minuto!$E$14</f>
        <v>0</v>
      </c>
      <c r="C10" s="20" t="n">
        <f aca="false">C7*Custo_por_Minuto!$E$14</f>
        <v>427.922</v>
      </c>
      <c r="D10" s="20" t="n">
        <f aca="false">D7*Custo_por_Minuto!$E$14</f>
        <v>1711.688</v>
      </c>
    </row>
    <row r="11" customFormat="false" ht="15" hidden="false" customHeight="false" outlineLevel="0" collapsed="false">
      <c r="A11" s="11" t="s">
        <v>114</v>
      </c>
      <c r="B11" s="20" t="n">
        <f aca="false">(B6/Premissas!$C$16)*Premissas!$C$7*Premissas!$C$4</f>
        <v>9.9375</v>
      </c>
      <c r="C11" s="20" t="n">
        <f aca="false">(C6/Premissas!$C$16)*Premissas!$C$7*Premissas!$C$4</f>
        <v>29.8125</v>
      </c>
      <c r="D11" s="20" t="n">
        <f aca="false">(D6/Premissas!$C$16)*Premissas!$C$7*Premissas!$C$4</f>
        <v>79.5</v>
      </c>
    </row>
    <row r="12" customFormat="false" ht="15" hidden="false" customHeight="false" outlineLevel="0" collapsed="false">
      <c r="A12" s="11" t="s">
        <v>115</v>
      </c>
      <c r="B12" s="20" t="n">
        <f aca="false">SUM(B9:B11)</f>
        <v>178.7425</v>
      </c>
      <c r="C12" s="20" t="n">
        <f aca="false">SUM(C9:C11)</f>
        <v>964.1495</v>
      </c>
      <c r="D12" s="20" t="n">
        <f aca="false">SUM(D9:D11)</f>
        <v>3141.628</v>
      </c>
    </row>
    <row r="13" customFormat="false" ht="15" hidden="false" customHeight="false" outlineLevel="0" collapsed="false">
      <c r="A13" s="13" t="s">
        <v>116</v>
      </c>
      <c r="B13" s="21" t="n">
        <f aca="false">B5-B12</f>
        <v>818.2575</v>
      </c>
      <c r="C13" s="21" t="n">
        <f aca="false">C5-C12</f>
        <v>1532.8505</v>
      </c>
      <c r="D13" s="21" t="n">
        <f aca="false">D5-D12</f>
        <v>2855.372</v>
      </c>
    </row>
    <row r="14" customFormat="false" ht="15" hidden="false" customHeight="false" outlineLevel="0" collapsed="false">
      <c r="A14" s="13" t="s">
        <v>117</v>
      </c>
      <c r="B14" s="22" t="n">
        <f aca="false">(B5-B12)/B5</f>
        <v>0.820719658976931</v>
      </c>
      <c r="C14" s="22" t="n">
        <f aca="false">(C5-C12)/C5</f>
        <v>0.613876852222667</v>
      </c>
      <c r="D14" s="22" t="n">
        <f aca="false">(D5-D12)/D5</f>
        <v>0.47613340003335</v>
      </c>
    </row>
    <row r="15" customFormat="false" ht="15" hidden="false" customHeight="false" outlineLevel="0" collapsed="false">
      <c r="A15" s="6" t="s">
        <v>118</v>
      </c>
      <c r="B15" s="6" t="str">
        <f aca="false">IF(B14&gt;=Premissas!$C$19,"OK","ABAIXO")</f>
        <v>OK</v>
      </c>
      <c r="C15" s="6" t="str">
        <f aca="false">IF(C14&gt;=Premissas!$C$19,"OK","ABAIXO")</f>
        <v>ABAIXO</v>
      </c>
      <c r="D15" s="6" t="str">
        <f aca="false">IF(D14&gt;=Premissas!$C$19,"OK","ABAIXO")</f>
        <v>ABAIXO</v>
      </c>
    </row>
    <row r="17" customFormat="false" ht="15" hidden="false" customHeight="false" outlineLevel="0" collapsed="false">
      <c r="A17" s="6" t="s">
        <v>119</v>
      </c>
      <c r="B17" s="16" t="n">
        <f aca="false">Custo_por_Minuto!$C$14/(1-Premissas!$C$19)</f>
        <v>1.12536666666667</v>
      </c>
    </row>
    <row r="18" customFormat="false" ht="15" hidden="false" customHeight="false" outlineLevel="0" collapsed="false">
      <c r="A18" s="6" t="s">
        <v>120</v>
      </c>
      <c r="B18" s="16" t="n">
        <f aca="false">Custo_por_Minuto!$E$14/(1-Premissas!$C$19)</f>
        <v>7.13203333333333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121</v>
      </c>
    </row>
    <row r="3" customFormat="false" ht="15" hidden="false" customHeight="false" outlineLevel="0" collapsed="false">
      <c r="A3" s="23" t="s">
        <v>122</v>
      </c>
      <c r="B3" s="24" t="n">
        <f aca="false">Premissas!$C$20</f>
        <v>900</v>
      </c>
    </row>
    <row r="4" customFormat="false" ht="15" hidden="false" customHeight="false" outlineLevel="0" collapsed="false">
      <c r="A4" s="23" t="s">
        <v>123</v>
      </c>
      <c r="B4" s="25" t="n">
        <f aca="false">B3*Premissas!$C$4</f>
        <v>4770</v>
      </c>
    </row>
    <row r="6" customFormat="false" ht="15" hidden="false" customHeight="false" outlineLevel="0" collapsed="false">
      <c r="A6" s="4" t="s">
        <v>124</v>
      </c>
      <c r="B6" s="4" t="s">
        <v>105</v>
      </c>
      <c r="C6" s="4" t="s">
        <v>106</v>
      </c>
      <c r="D6" s="4" t="s">
        <v>107</v>
      </c>
    </row>
    <row r="7" customFormat="false" ht="15" hidden="false" customHeight="false" outlineLevel="0" collapsed="false">
      <c r="A7" s="6" t="s">
        <v>125</v>
      </c>
      <c r="B7" s="20" t="n">
        <f aca="false">Planos_Margem!B13</f>
        <v>818.2575</v>
      </c>
      <c r="C7" s="20" t="n">
        <f aca="false">Planos_Margem!C13</f>
        <v>1532.8505</v>
      </c>
      <c r="D7" s="20" t="n">
        <f aca="false">Planos_Margem!D13</f>
        <v>2855.372</v>
      </c>
    </row>
    <row r="8" customFormat="false" ht="15" hidden="false" customHeight="false" outlineLevel="0" collapsed="false">
      <c r="A8" s="13" t="s">
        <v>126</v>
      </c>
      <c r="B8" s="26" t="n">
        <f aca="false">IF(B7&gt;0,ROUNDUP($B$4/B7,0),"n/a")</f>
        <v>6</v>
      </c>
      <c r="C8" s="26" t="n">
        <f aca="false">IF(C7&gt;0,ROUNDUP($B$4/C7,0),"n/a")</f>
        <v>4</v>
      </c>
      <c r="D8" s="26" t="n">
        <f aca="false">IF(D7&gt;0,ROUNDUP($B$4/D7,0),"n/a")</f>
        <v>2</v>
      </c>
    </row>
    <row r="10" customFormat="false" ht="15" hidden="false" customHeight="false" outlineLevel="0" collapsed="false">
      <c r="A10" s="1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2026-07-13T04:55:07Z</dcterms:created>
  <dc:creator>openpyxl</dc:creator>
  <dc:description/>
  <dc:language>en-US</dc:language>
  <cp:lastModifiedBy/>
  <dcterms:modified xsi:type="dcterms:W3CDTF">2026-07-13T04:55:07Z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